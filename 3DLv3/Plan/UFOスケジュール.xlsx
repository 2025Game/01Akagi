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47107D79-8E3D-436C-AE7E-D8437EE18AD2}" xr6:coauthVersionLast="47" xr6:coauthVersionMax="47" xr10:uidLastSave="{00000000-0000-0000-0000-000000000000}"/>
  <bookViews>
    <workbookView xWindow="-108" yWindow="-108" windowWidth="23256" windowHeight="1317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 i="11" l="1"/>
  <c r="F9" i="11" s="1"/>
  <c r="E10" i="11" s="1"/>
  <c r="F10" i="11" s="1"/>
  <c r="E11" i="11" s="1"/>
  <c r="F11" i="11" s="1"/>
  <c r="H7" i="11"/>
  <c r="I5" i="11" l="1"/>
  <c r="I6" i="11" s="1"/>
  <c r="H115" i="11"/>
  <c r="H114" i="11"/>
  <c r="H113" i="11"/>
  <c r="H112" i="11"/>
  <c r="H111" i="11"/>
  <c r="H110" i="11"/>
  <c r="H108" i="11"/>
  <c r="H102" i="11"/>
  <c r="H96" i="11"/>
  <c r="H8" i="11"/>
  <c r="H104" i="11" l="1"/>
  <c r="H103" i="11"/>
  <c r="H9" i="11" l="1"/>
  <c r="H109" i="11"/>
  <c r="H107" i="11"/>
  <c r="H105" i="11"/>
  <c r="J5" i="11"/>
  <c r="E12" i="11" l="1"/>
  <c r="F12" i="11" s="1"/>
  <c r="E13" i="11" s="1"/>
  <c r="K5" i="11"/>
  <c r="F13" i="11" l="1"/>
  <c r="E14" i="11" s="1"/>
  <c r="H10" i="11"/>
  <c r="L5" i="11"/>
  <c r="F14" i="11" l="1"/>
  <c r="E15" i="11" s="1"/>
  <c r="F15" i="11" s="1"/>
  <c r="E16" i="11" s="1"/>
  <c r="F16" i="11" s="1"/>
  <c r="H13" i="11"/>
  <c r="M5" i="11"/>
  <c r="N5" i="11" l="1"/>
  <c r="H15" i="11" l="1"/>
  <c r="O5" i="11"/>
  <c r="P5" i="11" l="1"/>
  <c r="P6" i="11" s="1"/>
  <c r="O6" i="11"/>
  <c r="N6" i="11"/>
  <c r="M6" i="11"/>
  <c r="L6" i="11"/>
  <c r="K6" i="11"/>
  <c r="J6" i="11"/>
  <c r="I4" i="11"/>
  <c r="H106" i="11" l="1"/>
  <c r="H11" i="11"/>
  <c r="P4" i="11"/>
  <c r="Q5" i="11"/>
  <c r="H12" i="11" l="1"/>
  <c r="R5" i="11"/>
  <c r="S5" i="11" l="1"/>
  <c r="H14" i="11" l="1"/>
  <c r="H97" i="11"/>
  <c r="T5" i="11"/>
  <c r="E17" i="11" l="1"/>
  <c r="F17" i="11" s="1"/>
  <c r="E18" i="11" s="1"/>
  <c r="U5" i="11"/>
  <c r="H16" i="11" l="1"/>
  <c r="H98" i="11"/>
  <c r="V5" i="11"/>
  <c r="H17" i="11" l="1"/>
  <c r="F18" i="11"/>
  <c r="E19" i="11" s="1"/>
  <c r="F19" i="11" s="1"/>
  <c r="E20" i="11" s="1"/>
  <c r="F20" i="11" s="1"/>
  <c r="E21" i="11" s="1"/>
  <c r="F21" i="11" s="1"/>
  <c r="E22" i="11" s="1"/>
  <c r="F22" i="11" s="1"/>
  <c r="E23" i="11" s="1"/>
  <c r="F23" i="11" s="1"/>
  <c r="E24" i="11" s="1"/>
  <c r="F24" i="11" s="1"/>
  <c r="E25" i="11" s="1"/>
  <c r="F25" i="11" s="1"/>
  <c r="E26" i="11" s="1"/>
  <c r="F26" i="11" s="1"/>
  <c r="E27" i="11" s="1"/>
  <c r="F27" i="11" s="1"/>
  <c r="E28" i="11" s="1"/>
  <c r="F28" i="11" s="1"/>
  <c r="E29" i="11" s="1"/>
  <c r="F29" i="11" s="1"/>
  <c r="E30" i="11" s="1"/>
  <c r="F30" i="11" s="1"/>
  <c r="E31" i="11" s="1"/>
  <c r="W5" i="11"/>
  <c r="W6" i="11" s="1"/>
  <c r="V6" i="11"/>
  <c r="U6" i="11"/>
  <c r="T6" i="11"/>
  <c r="S6" i="11"/>
  <c r="R6" i="11"/>
  <c r="Q6" i="11"/>
  <c r="H101" i="11"/>
  <c r="H100" i="11"/>
  <c r="H99" i="11"/>
  <c r="H18" i="11" l="1"/>
  <c r="X5" i="11"/>
  <c r="Y5" i="11" s="1"/>
  <c r="W4" i="11"/>
  <c r="H19" i="11" l="1"/>
  <c r="H20" i="11"/>
  <c r="Z5" i="11"/>
  <c r="H21" i="11" l="1"/>
  <c r="H22" i="11"/>
  <c r="AA5" i="11"/>
  <c r="H23" i="11" l="1"/>
  <c r="H24" i="11"/>
  <c r="AB5" i="11"/>
  <c r="H25" i="11" l="1"/>
  <c r="H26" i="11"/>
  <c r="AC5" i="11"/>
  <c r="H27" i="11" l="1"/>
  <c r="H28" i="11"/>
  <c r="AD5" i="11"/>
  <c r="AD6" i="11" s="1"/>
  <c r="AC6" i="11"/>
  <c r="AB6" i="11"/>
  <c r="AA6" i="11"/>
  <c r="Z6" i="11"/>
  <c r="Y6" i="11"/>
  <c r="X6" i="11"/>
  <c r="H29" i="11" l="1"/>
  <c r="AE5" i="11"/>
  <c r="AF5" i="11" s="1"/>
  <c r="F31" i="11" l="1"/>
  <c r="H30" i="11"/>
  <c r="AG5" i="11"/>
  <c r="E32" i="11" l="1"/>
  <c r="F32" i="11" s="1"/>
  <c r="H31" i="11"/>
  <c r="AH5" i="11"/>
  <c r="E33" i="11" l="1"/>
  <c r="F33" i="11" s="1"/>
  <c r="E34" i="11" s="1"/>
  <c r="F34" i="11" s="1"/>
  <c r="E35" i="11" s="1"/>
  <c r="F35" i="11" s="1"/>
  <c r="E36" i="11" s="1"/>
  <c r="F36" i="11" s="1"/>
  <c r="E37" i="11" s="1"/>
  <c r="F37" i="11" s="1"/>
  <c r="H32" i="11"/>
  <c r="H33" i="11"/>
  <c r="H34" i="11"/>
  <c r="AI5" i="11"/>
  <c r="H35" i="11" l="1"/>
  <c r="E38" i="11"/>
  <c r="F38" i="11" s="1"/>
  <c r="E39" i="11" s="1"/>
  <c r="F39" i="11" s="1"/>
  <c r="E40" i="11" s="1"/>
  <c r="H36" i="11"/>
  <c r="AJ5" i="11"/>
  <c r="AJ6" i="11" s="1"/>
  <c r="AI6" i="11"/>
  <c r="AH6" i="11"/>
  <c r="AG6" i="11"/>
  <c r="AF6" i="11"/>
  <c r="AE6" i="11"/>
  <c r="AD4" i="11"/>
  <c r="F40" i="11" l="1"/>
  <c r="E41" i="11" s="1"/>
  <c r="F41" i="11" s="1"/>
  <c r="H37" i="11"/>
  <c r="H38" i="11"/>
  <c r="AK5" i="11"/>
  <c r="H39" i="11" l="1"/>
  <c r="E42" i="11"/>
  <c r="F42" i="11" s="1"/>
  <c r="H40" i="11"/>
  <c r="AL5" i="11"/>
  <c r="E43" i="11" l="1"/>
  <c r="F43" i="11" s="1"/>
  <c r="E44" i="11" s="1"/>
  <c r="F44" i="11" s="1"/>
  <c r="E45" i="11" s="1"/>
  <c r="F45" i="11" s="1"/>
  <c r="E46" i="11" s="1"/>
  <c r="F46" i="11" s="1"/>
  <c r="E47" i="11" s="1"/>
  <c r="F47" i="11" s="1"/>
  <c r="E48" i="11" s="1"/>
  <c r="F48" i="11" s="1"/>
  <c r="E49" i="11" s="1"/>
  <c r="F49" i="11" s="1"/>
  <c r="H41" i="11"/>
  <c r="H42" i="11"/>
  <c r="AM5" i="11"/>
  <c r="H43" i="11" l="1"/>
  <c r="H44" i="11"/>
  <c r="AN5" i="11"/>
  <c r="H45" i="11" l="1"/>
  <c r="H46" i="11"/>
  <c r="AO5" i="11"/>
  <c r="H47" i="11" l="1"/>
  <c r="E50" i="11"/>
  <c r="F50" i="11" s="1"/>
  <c r="E51" i="11" s="1"/>
  <c r="F51" i="11" s="1"/>
  <c r="E52" i="11" s="1"/>
  <c r="F52" i="11" s="1"/>
  <c r="H48" i="11"/>
  <c r="AP5" i="11"/>
  <c r="E53" i="11" l="1"/>
  <c r="H49" i="11"/>
  <c r="H50" i="11"/>
  <c r="AQ5" i="11"/>
  <c r="AQ6" i="11" s="1"/>
  <c r="AP6" i="11"/>
  <c r="AO6" i="11"/>
  <c r="AN6" i="11"/>
  <c r="AM6" i="11"/>
  <c r="AL6" i="11"/>
  <c r="AK6" i="11"/>
  <c r="F53" i="11" l="1"/>
  <c r="E54" i="11" s="1"/>
  <c r="F54" i="11" s="1"/>
  <c r="E55" i="11" s="1"/>
  <c r="F55" i="11" s="1"/>
  <c r="H51" i="11"/>
  <c r="H52" i="11"/>
  <c r="AR5" i="11"/>
  <c r="AS5" i="11" s="1"/>
  <c r="AS6" i="11" s="1"/>
  <c r="AK4" i="11"/>
  <c r="H53" i="11" l="1"/>
  <c r="E56" i="11"/>
  <c r="F56" i="11" s="1"/>
  <c r="E57" i="11" s="1"/>
  <c r="F57" i="11" s="1"/>
  <c r="E58" i="11" s="1"/>
  <c r="H54" i="11"/>
  <c r="AR6" i="11"/>
  <c r="AT5" i="11"/>
  <c r="AT6" i="11" s="1"/>
  <c r="AR4" i="11"/>
  <c r="H55" i="11" l="1"/>
  <c r="F58" i="11"/>
  <c r="E59" i="11" s="1"/>
  <c r="F59" i="11" s="1"/>
  <c r="H56" i="11"/>
  <c r="AU5" i="11"/>
  <c r="AU6" i="11" s="1"/>
  <c r="H57" i="11" l="1"/>
  <c r="E60" i="11"/>
  <c r="H58" i="11"/>
  <c r="AV5" i="11"/>
  <c r="AV6" i="11" s="1"/>
  <c r="F60" i="11" l="1"/>
  <c r="E61" i="11" s="1"/>
  <c r="F61" i="11" s="1"/>
  <c r="E62" i="11" s="1"/>
  <c r="F62" i="11" s="1"/>
  <c r="E63" i="11" s="1"/>
  <c r="F63" i="11" s="1"/>
  <c r="E64" i="11" s="1"/>
  <c r="F64" i="11" s="1"/>
  <c r="E65" i="11" s="1"/>
  <c r="F65" i="11" s="1"/>
  <c r="E66" i="11" s="1"/>
  <c r="F66" i="11" s="1"/>
  <c r="H59" i="11"/>
  <c r="H60" i="11"/>
  <c r="AW5" i="11"/>
  <c r="AW6" i="11" s="1"/>
  <c r="H61" i="11" l="1"/>
  <c r="H62" i="11"/>
  <c r="AX5" i="11"/>
  <c r="H63" i="11" l="1"/>
  <c r="E67" i="11"/>
  <c r="F67" i="11" s="1"/>
  <c r="H64" i="11"/>
  <c r="AY5" i="11"/>
  <c r="AY6" i="11" s="1"/>
  <c r="AX6" i="11"/>
  <c r="H65" i="11" l="1"/>
  <c r="E68" i="11"/>
  <c r="F68" i="11" s="1"/>
  <c r="H66" i="11"/>
  <c r="AY4" i="11"/>
  <c r="AZ5" i="11"/>
  <c r="AZ6" i="11" s="1"/>
  <c r="H67" i="11" l="1"/>
  <c r="BA5" i="11"/>
  <c r="BA6" i="11" s="1"/>
  <c r="BB5" i="11" l="1"/>
  <c r="BB6" i="11" s="1"/>
  <c r="BC5" i="11" l="1"/>
  <c r="BC6" i="11" s="1"/>
  <c r="BD5" i="11" l="1"/>
  <c r="BD6" i="11" s="1"/>
  <c r="BE5" i="11" l="1"/>
  <c r="BE6" i="11" s="1"/>
  <c r="BF5" i="11" l="1"/>
  <c r="BF6" i="11" s="1"/>
  <c r="BF4" i="11" l="1"/>
  <c r="BG5" i="11"/>
  <c r="BG6" i="11" s="1"/>
  <c r="BH5" i="11" l="1"/>
  <c r="BH6" i="11" s="1"/>
  <c r="BI5" i="11" l="1"/>
  <c r="BI6" i="11" s="1"/>
  <c r="BJ5" i="11" l="1"/>
  <c r="BJ6" i="11" s="1"/>
  <c r="BK5" i="11" l="1"/>
  <c r="BK6" i="11" s="1"/>
  <c r="BL5" i="11" l="1"/>
  <c r="BM5" i="11" s="1"/>
  <c r="BM6" i="11" l="1"/>
  <c r="BN5" i="11"/>
  <c r="BM4" i="11"/>
  <c r="BL6" i="11"/>
  <c r="BO5" i="11" l="1"/>
  <c r="BN6" i="11"/>
  <c r="BO6" i="11" l="1"/>
  <c r="BP5" i="11"/>
  <c r="BP6" i="11" l="1"/>
  <c r="BQ5" i="11"/>
  <c r="BQ6" i="11" l="1"/>
  <c r="BR5" i="11"/>
  <c r="BR6" i="11" l="1"/>
  <c r="BS5" i="11"/>
  <c r="BS6" i="11" l="1"/>
  <c r="BT5" i="11"/>
  <c r="BT6" i="11" l="1"/>
  <c r="BU5" i="11"/>
  <c r="BT4" i="11"/>
  <c r="BU6" i="11" l="1"/>
  <c r="BV5" i="11"/>
  <c r="BV6" i="11" l="1"/>
  <c r="BW5" i="11"/>
  <c r="BW6" i="11" l="1"/>
  <c r="BX5" i="11"/>
  <c r="BY5" i="11" l="1"/>
  <c r="BX6" i="11"/>
  <c r="BY6" i="11" l="1"/>
  <c r="BZ5" i="11"/>
  <c r="BZ6" i="11" l="1"/>
  <c r="CA5" i="11"/>
  <c r="CA6" i="11" l="1"/>
  <c r="CA4" i="11"/>
  <c r="CB5" i="11"/>
  <c r="CB6" i="11" l="1"/>
  <c r="CC5" i="11"/>
  <c r="CC6" i="11" l="1"/>
  <c r="CD5" i="11"/>
  <c r="CD6" i="11" l="1"/>
  <c r="CE5" i="11"/>
  <c r="CF5" i="11" s="1"/>
  <c r="CF6" i="11" l="1"/>
  <c r="CG5" i="11"/>
  <c r="CE6" i="11"/>
  <c r="CG6" i="11" l="1"/>
  <c r="CH5" i="11"/>
  <c r="CI5" i="11" l="1"/>
  <c r="CH6" i="11"/>
  <c r="CI6" i="11" l="1"/>
  <c r="CJ5" i="11"/>
  <c r="CJ6" i="11" l="1"/>
  <c r="CK5" i="11"/>
  <c r="CK6" i="11" l="1"/>
  <c r="CL5" i="11"/>
  <c r="CL4" i="11" l="1"/>
  <c r="CL6" i="11"/>
  <c r="CM5" i="11"/>
  <c r="CM6" i="11" l="1"/>
  <c r="CN5" i="11"/>
  <c r="CN6" i="11" l="1"/>
  <c r="CO5" i="11"/>
  <c r="CO6" i="11" l="1"/>
  <c r="CP5" i="11"/>
  <c r="CP6" i="11" l="1"/>
  <c r="CQ5" i="11"/>
  <c r="CQ6" i="11" l="1"/>
  <c r="CR5" i="11"/>
  <c r="CR6" i="11" l="1"/>
  <c r="CS5" i="11"/>
  <c r="CS4" i="11" l="1"/>
  <c r="CS6" i="11"/>
  <c r="CT5" i="11"/>
  <c r="CT6" i="11" l="1"/>
  <c r="CU5" i="11"/>
  <c r="CU6" i="11" l="1"/>
  <c r="CV5" i="11"/>
  <c r="CV6" i="11" l="1"/>
  <c r="CW5" i="11"/>
  <c r="CW6" i="11" l="1"/>
  <c r="CX5" i="11"/>
  <c r="CX6" i="11" l="1"/>
  <c r="CY5" i="11"/>
  <c r="CY6" i="11" l="1"/>
  <c r="CZ5" i="11"/>
  <c r="CZ6" i="11" l="1"/>
  <c r="DA5" i="11"/>
  <c r="CZ4" i="11"/>
  <c r="DA6" i="11" l="1"/>
  <c r="DB5" i="11"/>
  <c r="DB6" i="11" l="1"/>
  <c r="DC5" i="11"/>
  <c r="DC6" i="11" l="1"/>
  <c r="DD5" i="11"/>
  <c r="DD6" i="11" l="1"/>
  <c r="DE5" i="11"/>
  <c r="DE6" i="11" l="1"/>
  <c r="DF5" i="11"/>
  <c r="DF6" i="11" l="1"/>
  <c r="DG5" i="11"/>
  <c r="DG4" i="11" l="1"/>
  <c r="DG6" i="11"/>
  <c r="DH5" i="11"/>
  <c r="DH6" i="11" l="1"/>
  <c r="DI5" i="11"/>
  <c r="DI6" i="11" l="1"/>
  <c r="DJ5" i="11"/>
  <c r="DJ6" i="11" l="1"/>
  <c r="DK5" i="11"/>
  <c r="DK6" i="11" l="1"/>
  <c r="DL5" i="11"/>
  <c r="DL6" i="11" l="1"/>
  <c r="DM5" i="11"/>
  <c r="DN5" i="11" l="1"/>
  <c r="DM6" i="11"/>
  <c r="DN4" i="11" l="1"/>
  <c r="DN6" i="11"/>
  <c r="DO5" i="11"/>
  <c r="DO6" i="11" l="1"/>
  <c r="DP5" i="11"/>
  <c r="DP6" i="11" l="1"/>
  <c r="DQ5" i="11"/>
  <c r="DQ6" i="11" l="1"/>
  <c r="DR5" i="11"/>
  <c r="DR6" i="11" l="1"/>
  <c r="DS5" i="11"/>
  <c r="DS6" i="11" l="1"/>
  <c r="DT5" i="11"/>
  <c r="H68" i="11"/>
  <c r="E69" i="11"/>
  <c r="F69" i="11" s="1"/>
  <c r="E70" i="11" s="1"/>
  <c r="H69" i="11" l="1"/>
  <c r="DT6" i="11"/>
  <c r="DU5" i="11"/>
  <c r="F70" i="11"/>
  <c r="E71" i="11" s="1"/>
  <c r="H70" i="11" l="1"/>
  <c r="F71" i="11"/>
  <c r="E72" i="11" s="1"/>
  <c r="F72" i="11" s="1"/>
  <c r="DV5" i="11"/>
  <c r="DU4" i="11"/>
  <c r="DU6" i="11"/>
  <c r="H71" i="11" l="1"/>
  <c r="DW5" i="11"/>
  <c r="DV6" i="11"/>
  <c r="E73" i="11"/>
  <c r="H72" i="11" l="1"/>
  <c r="F73" i="11"/>
  <c r="H73" i="11" s="1"/>
  <c r="DX5" i="11"/>
  <c r="DW6" i="11"/>
  <c r="DY5" i="11" l="1"/>
  <c r="DX6" i="11"/>
  <c r="E74" i="11"/>
  <c r="F74" i="11" l="1"/>
  <c r="E75" i="11" s="1"/>
  <c r="H74" i="11"/>
  <c r="DZ5" i="11"/>
  <c r="DY6" i="11"/>
  <c r="EA5" i="11" l="1"/>
  <c r="DZ6" i="11"/>
  <c r="F75" i="11"/>
  <c r="E76" i="11" s="1"/>
  <c r="H75" i="11"/>
  <c r="EB5" i="11" l="1"/>
  <c r="EA6" i="11"/>
  <c r="EB6" i="11" l="1"/>
  <c r="EB4" i="11"/>
  <c r="EC5" i="11"/>
  <c r="F76" i="11"/>
  <c r="E77" i="11" s="1"/>
  <c r="F77" i="11" s="1"/>
  <c r="E78" i="11" s="1"/>
  <c r="H76" i="11"/>
  <c r="H77" i="11" l="1"/>
  <c r="F78" i="11"/>
  <c r="E79" i="11" s="1"/>
  <c r="H78" i="11"/>
  <c r="EC6" i="11"/>
  <c r="ED5" i="11"/>
  <c r="ED6" i="11" l="1"/>
  <c r="EE5" i="11"/>
  <c r="F79" i="11"/>
  <c r="E80" i="11" s="1"/>
  <c r="H79" i="11"/>
  <c r="F80" i="11" l="1"/>
  <c r="E81" i="11" s="1"/>
  <c r="EE6" i="11"/>
  <c r="EF5" i="11"/>
  <c r="H80" i="11" l="1"/>
  <c r="EF6" i="11"/>
  <c r="EG5" i="11"/>
  <c r="F81" i="11"/>
  <c r="E82" i="11" s="1"/>
  <c r="H81" i="11" l="1"/>
  <c r="F82" i="11"/>
  <c r="E83" i="11" s="1"/>
  <c r="EG6" i="11"/>
  <c r="EH5" i="11"/>
  <c r="EH6" i="11" s="1"/>
  <c r="H82" i="11" l="1"/>
  <c r="F83" i="11"/>
  <c r="E84" i="11" s="1"/>
  <c r="H83" i="11"/>
  <c r="F84" i="11" l="1"/>
  <c r="E85" i="11" s="1"/>
  <c r="H84" i="11"/>
  <c r="F85" i="11" l="1"/>
  <c r="E86" i="11" s="1"/>
  <c r="H85" i="11" l="1"/>
  <c r="F86" i="11"/>
  <c r="E87" i="11" s="1"/>
  <c r="H86" i="11" l="1"/>
  <c r="F87" i="11"/>
  <c r="E88" i="11" s="1"/>
  <c r="H87" i="11" l="1"/>
  <c r="F88" i="11"/>
  <c r="E89" i="11" s="1"/>
  <c r="H88" i="11" l="1"/>
  <c r="F89" i="11"/>
  <c r="E90" i="11" s="1"/>
  <c r="H89" i="11" l="1"/>
  <c r="F90" i="11"/>
  <c r="E91" i="11" s="1"/>
  <c r="F91" i="11" l="1"/>
  <c r="E92" i="11" s="1"/>
  <c r="H90" i="11"/>
  <c r="H91" i="11" l="1"/>
  <c r="F92" i="11"/>
  <c r="E93" i="11" s="1"/>
  <c r="F93" i="11" s="1"/>
  <c r="H92" i="11"/>
  <c r="E94" i="11" l="1"/>
  <c r="F94" i="11" s="1"/>
  <c r="E95" i="11" s="1"/>
  <c r="F95" i="11" s="1"/>
  <c r="H93" i="11"/>
  <c r="H94" i="11" l="1"/>
  <c r="H95" i="11" l="1"/>
</calcChain>
</file>

<file path=xl/sharedStrings.xml><?xml version="1.0" encoding="utf-8"?>
<sst xmlns="http://schemas.openxmlformats.org/spreadsheetml/2006/main" count="267" uniqueCount="139">
  <si>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</si>
  <si>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</si>
  <si>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</si>
  <si>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</si>
  <si>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</si>
  <si>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</si>
  <si>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</si>
  <si>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</si>
  <si>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</si>
  <si>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</si>
  <si>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</si>
  <si>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</si>
  <si>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</si>
  <si>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プロジェクト タイトル</t>
  </si>
  <si>
    <t>会社名</t>
  </si>
  <si>
    <t>プロジェクト主任</t>
  </si>
  <si>
    <t>タスク</t>
  </si>
  <si>
    <t>タスク 1</t>
  </si>
  <si>
    <t>タスク 2</t>
  </si>
  <si>
    <t>タスク 3</t>
  </si>
  <si>
    <t>タスク 4</t>
  </si>
  <si>
    <t>タスク 5</t>
  </si>
  <si>
    <t>フェーズ 2 タイトル</t>
  </si>
  <si>
    <t>フェーズ 3 タイトル</t>
  </si>
  <si>
    <t>フェーズ 4 タイトル</t>
  </si>
  <si>
    <t>この行の上に新しい行を挿入する</t>
  </si>
  <si>
    <t>プロジェクトの開始:</t>
  </si>
  <si>
    <t>週表示:</t>
  </si>
  <si>
    <t>進捗状況</t>
  </si>
  <si>
    <t>開始</t>
  </si>
  <si>
    <t>日付</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</si>
  <si>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</si>
  <si>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</si>
  <si>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</si>
  <si>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</si>
  <si>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</si>
  <si>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</si>
  <si>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</si>
  <si>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</si>
  <si>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</si>
  <si>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</si>
  <si>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</si>
  <si>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</si>
  <si>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</si>
  <si>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</si>
  <si>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</si>
  <si>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</si>
  <si>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9"/>
  </si>
  <si>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</si>
  <si>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phoneticPr fontId="29"/>
  </si>
  <si>
    <t>仮のUFOを表示する</t>
    <phoneticPr fontId="29"/>
  </si>
  <si>
    <t>awsdキーで水平移動する</t>
    <phoneticPr fontId="29"/>
  </si>
  <si>
    <t>shiftキーで上昇、spaceキーで下降</t>
    <phoneticPr fontId="29"/>
  </si>
  <si>
    <t>マウス移動で視点の移動</t>
    <phoneticPr fontId="29"/>
  </si>
  <si>
    <t>右クリックを押している最中で高速移動させる</t>
    <phoneticPr fontId="29"/>
  </si>
  <si>
    <t>赤木</t>
    <rPh sb="0" eb="2">
      <t>アカギ</t>
    </rPh>
    <phoneticPr fontId="29"/>
  </si>
  <si>
    <t>仮の地上の敵オブジェクトの表示、ランダムに移動させる</t>
    <phoneticPr fontId="29"/>
  </si>
  <si>
    <t>敵から弾を打たせる</t>
  </si>
  <si>
    <t>仮の地上の敵ufoが近づくとプレイヤーに向かって弾を打つようにする</t>
  </si>
  <si>
    <t>左クリックを押している中でカメラを俯瞰の視点にして敵を吸い込めるようにする（光線）</t>
  </si>
  <si>
    <t>左クリックを話すとカメラをもとに戻す</t>
  </si>
  <si>
    <t>敵が吸い込まれ状態のときにUFOの下にあたると消滅させる</t>
  </si>
  <si>
    <t>左クリック+右クリックで敵を遠ざける光線を放つ</t>
  </si>
  <si>
    <t>地上の敵にUFOへの当たり判定を追加する</t>
  </si>
  <si>
    <t>UFOが弾に当たった時にUFOに爆発のエフェクトを表示する</t>
  </si>
  <si>
    <t>UFOが弾に当たった時にノックバックさせる</t>
  </si>
  <si>
    <t>HPゲージ、人数、頭数の画像を表示する</t>
  </si>
  <si>
    <t>人数、頭数の数字の部分を表示する</t>
  </si>
  <si>
    <t>弾に当たった時にHPゲージを減らす</t>
  </si>
  <si>
    <t>敵を吸い込んで消失した際に数字を増やす</t>
  </si>
  <si>
    <t>制限時間を表示する</t>
  </si>
  <si>
    <t>時間に応じて制限時間を減らしていく</t>
  </si>
  <si>
    <t>左クリックしたときの吸い込みに円柱の光を追加する</t>
  </si>
  <si>
    <t>左クリック中に右クリックしたと気に円柱の光を追加する</t>
  </si>
  <si>
    <t>エリアの枠を示すエフェクトを追加する</t>
  </si>
  <si>
    <t>既定の人数を吸い込むとエリアの枠を示すエフェクトの色を変える</t>
  </si>
  <si>
    <t>シーン繊維のシステムをつくり、ゲームオーバー、ゲームクリアのシーンを追加する</t>
  </si>
  <si>
    <t>ゲームオーバーの画像表示、anybuttonでゲーム画面へ、</t>
  </si>
  <si>
    <t>ゲームクリアの画像表示、anybuttonでゲーム画面へ</t>
  </si>
  <si>
    <t>エフェクトが変わった枠のエリア外に出るとゲームクリアの画面にする</t>
  </si>
  <si>
    <t>HPゲージが0になると爆発のエフェクトを出してゲームオーバーの画面にする</t>
  </si>
  <si>
    <t>地面に当たった時にノックバックさせ、HPゲージを減らす</t>
  </si>
  <si>
    <t>地面に当たった時に衝突のエネルギーが大きければ、爆発させてゲームオーバー画面にする</t>
  </si>
  <si>
    <t>人間改造ゲージを表示する</t>
  </si>
  <si>
    <t>回収した人間がいるときに人間改造ゲージを増やす</t>
  </si>
  <si>
    <t>仮の改造人間クラスをつくり、モデルを表示する</t>
  </si>
  <si>
    <t>改造人間に敵との地面、敵との当たり判定、重力を追加する</t>
  </si>
  <si>
    <t>人間改造ゲージが最大になるとEキー押すと改造人間をUFOの下から出現させる</t>
  </si>
  <si>
    <t>改造人間を敵に向かって歩かせる</t>
  </si>
  <si>
    <t>改造人間が敵に接触すると敵の動き、攻撃を止める</t>
  </si>
  <si>
    <t>改造人間の周りに敵がいなければ、UFOについていく</t>
  </si>
  <si>
    <t>引力ゲージを表示する</t>
  </si>
  <si>
    <t>右クリック or 左クリックを押している間に引力ゲージを減らしていく</t>
  </si>
  <si>
    <t>引力ゲージが0になると回復するまでUFOの動きが遅くなる、左クリックを無効にする</t>
  </si>
  <si>
    <t>右クリックを押している最中にだけ引力ゲージが現れる</t>
  </si>
  <si>
    <t>仮のタイトル画像を表示する</t>
  </si>
  <si>
    <t>タイトル名を表示する</t>
  </si>
  <si>
    <t>wsキーで少し文字を大きくして選択できるようにする</t>
  </si>
  <si>
    <t>ステージ選択のボタンを選択した状態でenterキーで決定して、ステージ一覧に遷移する</t>
  </si>
  <si>
    <t>月面、牧場、街、エリア051のボタンを追加する</t>
  </si>
  <si>
    <t>牧場シーンを追加して、牧場ボタンの決定から遷移させる</t>
  </si>
  <si>
    <t>牧場の3dオブジェクトを読み込む</t>
  </si>
  <si>
    <t>牧場のオブジェクトの当たり判定をつける</t>
  </si>
  <si>
    <t>ゲームオーバー、ゲームクリアの画面からタイトル画面へ遷移させる</t>
  </si>
  <si>
    <t>村人の3dモデルを読み込む</t>
  </si>
  <si>
    <t>村人の当たり判定、ステージ内を建物をよけながら動く動きをつける</t>
  </si>
  <si>
    <t>村人がUFOが近づいたら、逃げる動きをつける</t>
  </si>
  <si>
    <t>牧場主の逃げる→接近したらUFOに向かって構える動きをつける</t>
  </si>
  <si>
    <t>牧場主のショットガンの動きを実装する</t>
  </si>
  <si>
    <t>保安官のUFOを見つける→攻撃するの動きを実装する</t>
  </si>
  <si>
    <t>保安官のピストルの動きを実装する</t>
  </si>
  <si>
    <t>パトカーに乗って、あらわれてくる保安官を実装する</t>
  </si>
  <si>
    <t>時間が増えるごとに敵（保安官）が増えるシステムを実装する</t>
  </si>
  <si>
    <t>ユニットを配置する</t>
  </si>
  <si>
    <t>街のシーンを追加する</t>
  </si>
  <si>
    <t>街のオブジェクトを読み込む</t>
  </si>
  <si>
    <t>街のオブジェクトの当たり判定をつける</t>
  </si>
  <si>
    <t>ヘリコプターのモデルを読み込む</t>
  </si>
  <si>
    <t>ヘリコプターの動きをつける</t>
  </si>
  <si>
    <t>ヘリコプターのUFOの追尾機能を実装する</t>
  </si>
  <si>
    <t>ヘリコプターの機銃を実装する　</t>
  </si>
  <si>
    <t>ヘリコプターがエリア外から出現するようにする</t>
  </si>
  <si>
    <t>エリア051のシーンを追加する</t>
  </si>
  <si>
    <t>エリア051のオブジェクトを読み込む</t>
  </si>
  <si>
    <t>エリア051のオブジェクトの当たり判定をつける</t>
  </si>
  <si>
    <t>エリア051にバリアを追加する</t>
  </si>
  <si>
    <t>タワーのモデルを読み込む</t>
  </si>
  <si>
    <t>タワーに当たり判定を追加する</t>
  </si>
  <si>
    <t>タワーに敵のオブジェクトが当たるとダメージを受けるようにする</t>
  </si>
  <si>
    <t>タワーにダメージが蓄積すると爆発のエフェクトを出して破壊する</t>
  </si>
  <si>
    <t>タワーが壊れるごとにバリアを壊すようにする</t>
  </si>
  <si>
    <t>科学者のモデルを読み込む</t>
  </si>
  <si>
    <t>科学者の当たり判定</t>
  </si>
  <si>
    <t>科学者動きを実装する</t>
  </si>
  <si>
    <t>科学者の攻撃のエフェクトをつける</t>
  </si>
  <si>
    <t>仮の地上の敵に重力を追加する</t>
    <rPh sb="3" eb="4">
      <t>ウエ</t>
    </rPh>
    <phoneticPr fontId="29"/>
  </si>
  <si>
    <t>ステージ選択、終わるのボタンを追加する</t>
    <phoneticPr fontId="29"/>
  </si>
  <si>
    <t>終わるボタン選択で終わるようにする</t>
    <rPh sb="0" eb="1">
      <t>オ</t>
    </rPh>
    <rPh sb="6" eb="8">
      <t>センタク</t>
    </rPh>
    <rPh sb="9" eb="10">
      <t>オ</t>
    </rPh>
    <phoneticPr fontId="29"/>
  </si>
  <si>
    <t>プログラミング</t>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</si>
</sst>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0"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99">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6"/>
    <xf numFmtId="0" fontId="9" fillId="0" borderId="0" xfId="7">
      <alignment vertical="top"/>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1" fillId="4" borderId="2" xfId="10" applyNumberFormat="1" applyFill="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1" fillId="11" borderId="2" xfId="10" applyNumberFormat="1" applyFill="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10" borderId="2" xfId="10" applyNumberFormat="1" applyFill="1">
      <alignment horizontal="center" vertical="center"/>
    </xf>
    <xf numFmtId="178" fontId="1" fillId="0" borderId="2" xfId="10" applyNumberFormat="1">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14" fontId="0" fillId="7" borderId="0" xfId="0" applyNumberFormat="1" applyFill="1" applyBorder="1" applyAlignment="1">
      <alignment horizontal="left" vertical="center" wrapText="1" indent="1"/>
    </xf>
    <xf numFmtId="0" fontId="1" fillId="0" borderId="0" xfId="8">
      <alignment horizontal="right" indent="1"/>
    </xf>
    <xf numFmtId="0" fontId="1" fillId="0" borderId="7" xfId="8" applyBorder="1">
      <alignment horizontal="right" indent="1"/>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17" xfId="9" applyNumberFormat="1" applyBorder="1">
      <alignment horizontal="center" vertical="center"/>
    </xf>
    <xf numFmtId="179" fontId="1" fillId="0" borderId="18" xfId="9" applyNumberFormat="1" applyBorder="1">
      <alignment horizontal="center" vertical="center"/>
    </xf>
    <xf numFmtId="0" fontId="24" fillId="45" borderId="8" xfId="0" applyFont="1" applyFill="1" applyBorder="1" applyAlignment="1">
      <alignment horizontal="center" vertical="center" shrinkToFit="1"/>
    </xf>
    <xf numFmtId="0" fontId="0" fillId="45" borderId="9" xfId="0" applyFill="1" applyBorder="1" applyAlignment="1">
      <alignment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H118"/>
  <sheetViews>
    <sheetView showGridLines="0" tabSelected="1" showRuler="0" zoomScaleNormal="100" zoomScalePageLayoutView="70" workbookViewId="0">
      <pane xSplit="9" ySplit="7" topLeftCell="AC14" activePane="bottomRight" state="frozen"/>
      <selection pane="topRight" activeCell="J1" sqref="J1"/>
      <selection pane="bottomLeft" activeCell="A8" sqref="A8"/>
      <selection pane="bottomRight" activeCell="DQ81" sqref="DQ81"/>
    </sheetView>
  </sheetViews>
  <sheetFormatPr defaultRowHeight="30" customHeight="1" x14ac:dyDescent="0.3"/>
  <cols>
    <col min="1" max="1" width="2.54296875" style="8" customWidth="1"/>
    <col min="2" max="2" width="54.26953125" customWidth="1"/>
    <col min="3" max="3" width="12.90625" customWidth="1"/>
    <col min="4" max="4" width="10.54296875" customWidth="1"/>
    <col min="5" max="5" width="10.1796875" style="2" customWidth="1"/>
    <col min="6" max="6" width="10.54296875" customWidth="1"/>
    <col min="7" max="7" width="0.54296875" customWidth="1"/>
    <col min="8" max="8" width="3.36328125" customWidth="1"/>
    <col min="9" max="138" width="2.453125" customWidth="1"/>
    <col min="140" max="142" width="7.1796875"/>
    <col min="143" max="144" width="8.453125"/>
  </cols>
  <sheetData>
    <row r="1" spans="1:138" ht="30" customHeight="1" x14ac:dyDescent="0.55000000000000004">
      <c r="A1" s="9" t="s">
        <v>49</v>
      </c>
      <c r="B1" s="11" t="s">
        <v>13</v>
      </c>
      <c r="C1" s="29"/>
      <c r="D1" s="30"/>
      <c r="E1" s="31"/>
      <c r="F1" s="32"/>
      <c r="H1" s="30"/>
      <c r="I1" s="33" t="s">
        <v>33</v>
      </c>
    </row>
    <row r="2" spans="1:138" ht="30" customHeight="1" x14ac:dyDescent="0.35">
      <c r="A2" s="8" t="s">
        <v>0</v>
      </c>
      <c r="B2" s="12" t="s">
        <v>14</v>
      </c>
      <c r="I2" s="34" t="s">
        <v>34</v>
      </c>
    </row>
    <row r="3" spans="1:138" ht="30" customHeight="1" x14ac:dyDescent="0.3">
      <c r="A3" s="8" t="s">
        <v>1</v>
      </c>
      <c r="B3" s="13" t="s">
        <v>15</v>
      </c>
      <c r="C3" s="90" t="s">
        <v>26</v>
      </c>
      <c r="D3" s="91"/>
      <c r="E3" s="95">
        <v>46316</v>
      </c>
      <c r="F3" s="96"/>
    </row>
    <row r="4" spans="1:138" ht="30" customHeight="1" x14ac:dyDescent="0.3">
      <c r="A4" s="9" t="s">
        <v>2</v>
      </c>
      <c r="C4" s="90" t="s">
        <v>27</v>
      </c>
      <c r="D4" s="91"/>
      <c r="E4" s="4">
        <v>1</v>
      </c>
      <c r="I4" s="92">
        <f>I5</f>
        <v>46314</v>
      </c>
      <c r="J4" s="93"/>
      <c r="K4" s="93"/>
      <c r="L4" s="93"/>
      <c r="M4" s="93"/>
      <c r="N4" s="93"/>
      <c r="O4" s="94"/>
      <c r="P4" s="92">
        <f>P5</f>
        <v>46321</v>
      </c>
      <c r="Q4" s="93"/>
      <c r="R4" s="93"/>
      <c r="S4" s="93"/>
      <c r="T4" s="93"/>
      <c r="U4" s="93"/>
      <c r="V4" s="94"/>
      <c r="W4" s="92">
        <f>W5</f>
        <v>46328</v>
      </c>
      <c r="X4" s="93"/>
      <c r="Y4" s="93"/>
      <c r="Z4" s="93"/>
      <c r="AA4" s="93"/>
      <c r="AB4" s="93"/>
      <c r="AC4" s="94"/>
      <c r="AD4" s="92">
        <f>AD5</f>
        <v>46335</v>
      </c>
      <c r="AE4" s="93"/>
      <c r="AF4" s="93"/>
      <c r="AG4" s="93"/>
      <c r="AH4" s="93"/>
      <c r="AI4" s="93"/>
      <c r="AJ4" s="94"/>
      <c r="AK4" s="92">
        <f>AK5</f>
        <v>46342</v>
      </c>
      <c r="AL4" s="93"/>
      <c r="AM4" s="93"/>
      <c r="AN4" s="93"/>
      <c r="AO4" s="93"/>
      <c r="AP4" s="93"/>
      <c r="AQ4" s="94"/>
      <c r="AR4" s="92">
        <f>AR5</f>
        <v>46349</v>
      </c>
      <c r="AS4" s="93"/>
      <c r="AT4" s="93"/>
      <c r="AU4" s="93"/>
      <c r="AV4" s="93"/>
      <c r="AW4" s="93"/>
      <c r="AX4" s="94"/>
      <c r="AY4" s="92">
        <f>AY5</f>
        <v>46356</v>
      </c>
      <c r="AZ4" s="93"/>
      <c r="BA4" s="93"/>
      <c r="BB4" s="93"/>
      <c r="BC4" s="93"/>
      <c r="BD4" s="93"/>
      <c r="BE4" s="94"/>
      <c r="BF4" s="92">
        <f>BF5</f>
        <v>46363</v>
      </c>
      <c r="BG4" s="93"/>
      <c r="BH4" s="93"/>
      <c r="BI4" s="93"/>
      <c r="BJ4" s="93"/>
      <c r="BK4" s="93"/>
      <c r="BL4" s="94"/>
      <c r="BM4" s="92">
        <f>BM5</f>
        <v>46370</v>
      </c>
      <c r="BN4" s="93"/>
      <c r="BO4" s="93"/>
      <c r="BP4" s="93"/>
      <c r="BQ4" s="93"/>
      <c r="BR4" s="93"/>
      <c r="BS4" s="94"/>
      <c r="BT4" s="92">
        <f>BT5</f>
        <v>46377</v>
      </c>
      <c r="BU4" s="93"/>
      <c r="BV4" s="93"/>
      <c r="BW4" s="93"/>
      <c r="BX4" s="93"/>
      <c r="BY4" s="93"/>
      <c r="BZ4" s="94"/>
      <c r="CA4" s="92">
        <f>CA5</f>
        <v>46384</v>
      </c>
      <c r="CB4" s="93"/>
      <c r="CC4" s="93"/>
      <c r="CD4" s="93"/>
      <c r="CE4" s="93"/>
      <c r="CF4" s="89"/>
      <c r="CG4" s="89"/>
      <c r="CH4" s="89"/>
      <c r="CI4" s="89"/>
      <c r="CJ4" s="89"/>
      <c r="CK4" s="89"/>
      <c r="CL4" s="92">
        <f>CL5</f>
        <v>46395</v>
      </c>
      <c r="CM4" s="93"/>
      <c r="CN4" s="93"/>
      <c r="CO4" s="93"/>
      <c r="CP4" s="93"/>
      <c r="CQ4" s="93"/>
      <c r="CR4" s="94"/>
      <c r="CS4" s="92">
        <f>CS5</f>
        <v>46402</v>
      </c>
      <c r="CT4" s="93"/>
      <c r="CU4" s="93"/>
      <c r="CV4" s="93"/>
      <c r="CW4" s="93"/>
      <c r="CX4" s="93"/>
      <c r="CY4" s="94"/>
      <c r="CZ4" s="92">
        <f>CZ5</f>
        <v>46409</v>
      </c>
      <c r="DA4" s="93"/>
      <c r="DB4" s="93"/>
      <c r="DC4" s="93"/>
      <c r="DD4" s="93"/>
      <c r="DE4" s="93"/>
      <c r="DF4" s="94"/>
      <c r="DG4" s="92">
        <f>DG5</f>
        <v>46416</v>
      </c>
      <c r="DH4" s="93"/>
      <c r="DI4" s="93"/>
      <c r="DJ4" s="93"/>
      <c r="DK4" s="93"/>
      <c r="DL4" s="93"/>
      <c r="DM4" s="94"/>
      <c r="DN4" s="92">
        <f>DN5</f>
        <v>46423</v>
      </c>
      <c r="DO4" s="93"/>
      <c r="DP4" s="93"/>
      <c r="DQ4" s="93"/>
      <c r="DR4" s="93"/>
      <c r="DS4" s="93"/>
      <c r="DT4" s="94"/>
      <c r="DU4" s="92">
        <f>DU5</f>
        <v>46430</v>
      </c>
      <c r="DV4" s="93"/>
      <c r="DW4" s="93"/>
      <c r="DX4" s="93"/>
      <c r="DY4" s="93"/>
      <c r="DZ4" s="93"/>
      <c r="EA4" s="94"/>
      <c r="EB4" s="92">
        <f>EB5</f>
        <v>46437</v>
      </c>
      <c r="EC4" s="93"/>
      <c r="ED4" s="93"/>
      <c r="EE4" s="93"/>
      <c r="EF4" s="93"/>
      <c r="EG4" s="93"/>
      <c r="EH4" s="94"/>
    </row>
    <row r="5" spans="1:138" ht="15" customHeight="1" x14ac:dyDescent="0.3">
      <c r="A5" s="9" t="s">
        <v>3</v>
      </c>
      <c r="B5" s="28"/>
      <c r="C5" s="28"/>
      <c r="D5" s="28"/>
      <c r="E5" s="28"/>
      <c r="F5" s="28"/>
      <c r="G5" s="28"/>
      <c r="I5" s="86">
        <f>プロジェクトの開始-WEEKDAY(プロジェクトの開始,1)+2+7*(週表示-1)</f>
        <v>46314</v>
      </c>
      <c r="J5" s="87">
        <f>I5+1</f>
        <v>46315</v>
      </c>
      <c r="K5" s="87">
        <f t="shared" ref="K5:AX5" si="0">J5+1</f>
        <v>46316</v>
      </c>
      <c r="L5" s="87">
        <f t="shared" si="0"/>
        <v>46317</v>
      </c>
      <c r="M5" s="87">
        <f t="shared" si="0"/>
        <v>46318</v>
      </c>
      <c r="N5" s="87">
        <f t="shared" si="0"/>
        <v>46319</v>
      </c>
      <c r="O5" s="88">
        <f t="shared" si="0"/>
        <v>46320</v>
      </c>
      <c r="P5" s="86">
        <f>O5+1</f>
        <v>46321</v>
      </c>
      <c r="Q5" s="87">
        <f>P5+1</f>
        <v>46322</v>
      </c>
      <c r="R5" s="87">
        <f t="shared" si="0"/>
        <v>46323</v>
      </c>
      <c r="S5" s="87">
        <f t="shared" si="0"/>
        <v>46324</v>
      </c>
      <c r="T5" s="87">
        <f t="shared" si="0"/>
        <v>46325</v>
      </c>
      <c r="U5" s="87">
        <f t="shared" si="0"/>
        <v>46326</v>
      </c>
      <c r="V5" s="88">
        <f t="shared" si="0"/>
        <v>46327</v>
      </c>
      <c r="W5" s="86">
        <f>V5+1</f>
        <v>46328</v>
      </c>
      <c r="X5" s="87">
        <f>W5+1</f>
        <v>46329</v>
      </c>
      <c r="Y5" s="87">
        <f t="shared" si="0"/>
        <v>46330</v>
      </c>
      <c r="Z5" s="87">
        <f t="shared" si="0"/>
        <v>46331</v>
      </c>
      <c r="AA5" s="87">
        <f t="shared" si="0"/>
        <v>46332</v>
      </c>
      <c r="AB5" s="87">
        <f t="shared" si="0"/>
        <v>46333</v>
      </c>
      <c r="AC5" s="88">
        <f t="shared" si="0"/>
        <v>46334</v>
      </c>
      <c r="AD5" s="86">
        <f>AC5+1</f>
        <v>46335</v>
      </c>
      <c r="AE5" s="87">
        <f>AD5+1</f>
        <v>46336</v>
      </c>
      <c r="AF5" s="87">
        <f t="shared" si="0"/>
        <v>46337</v>
      </c>
      <c r="AG5" s="87">
        <f t="shared" si="0"/>
        <v>46338</v>
      </c>
      <c r="AH5" s="87">
        <f t="shared" si="0"/>
        <v>46339</v>
      </c>
      <c r="AI5" s="87">
        <f t="shared" si="0"/>
        <v>46340</v>
      </c>
      <c r="AJ5" s="88">
        <f t="shared" si="0"/>
        <v>46341</v>
      </c>
      <c r="AK5" s="86">
        <f>AJ5+1</f>
        <v>46342</v>
      </c>
      <c r="AL5" s="87">
        <f>AK5+1</f>
        <v>46343</v>
      </c>
      <c r="AM5" s="87">
        <f t="shared" si="0"/>
        <v>46344</v>
      </c>
      <c r="AN5" s="87">
        <f t="shared" si="0"/>
        <v>46345</v>
      </c>
      <c r="AO5" s="87">
        <f t="shared" si="0"/>
        <v>46346</v>
      </c>
      <c r="AP5" s="87">
        <f t="shared" si="0"/>
        <v>46347</v>
      </c>
      <c r="AQ5" s="88">
        <f t="shared" si="0"/>
        <v>46348</v>
      </c>
      <c r="AR5" s="86">
        <f>AQ5+1</f>
        <v>46349</v>
      </c>
      <c r="AS5" s="87">
        <f>AR5+1</f>
        <v>46350</v>
      </c>
      <c r="AT5" s="87">
        <f t="shared" si="0"/>
        <v>46351</v>
      </c>
      <c r="AU5" s="87">
        <f t="shared" si="0"/>
        <v>46352</v>
      </c>
      <c r="AV5" s="87">
        <f t="shared" si="0"/>
        <v>46353</v>
      </c>
      <c r="AW5" s="87">
        <f t="shared" si="0"/>
        <v>46354</v>
      </c>
      <c r="AX5" s="88">
        <f t="shared" si="0"/>
        <v>46355</v>
      </c>
      <c r="AY5" s="86">
        <f>AX5+1</f>
        <v>46356</v>
      </c>
      <c r="AZ5" s="87">
        <f>AY5+1</f>
        <v>46357</v>
      </c>
      <c r="BA5" s="87">
        <f t="shared" ref="BA5:BE5" si="1">AZ5+1</f>
        <v>46358</v>
      </c>
      <c r="BB5" s="87">
        <f t="shared" si="1"/>
        <v>46359</v>
      </c>
      <c r="BC5" s="87">
        <f t="shared" si="1"/>
        <v>46360</v>
      </c>
      <c r="BD5" s="87">
        <f t="shared" si="1"/>
        <v>46361</v>
      </c>
      <c r="BE5" s="88">
        <f t="shared" si="1"/>
        <v>46362</v>
      </c>
      <c r="BF5" s="86">
        <f>BE5+1</f>
        <v>46363</v>
      </c>
      <c r="BG5" s="87">
        <f>BF5+1</f>
        <v>46364</v>
      </c>
      <c r="BH5" s="87">
        <f t="shared" ref="BH5:BL5" si="2">BG5+1</f>
        <v>46365</v>
      </c>
      <c r="BI5" s="87">
        <f t="shared" si="2"/>
        <v>46366</v>
      </c>
      <c r="BJ5" s="87">
        <f t="shared" si="2"/>
        <v>46367</v>
      </c>
      <c r="BK5" s="87">
        <f t="shared" si="2"/>
        <v>46368</v>
      </c>
      <c r="BL5" s="88">
        <f t="shared" si="2"/>
        <v>46369</v>
      </c>
      <c r="BM5" s="86">
        <f>BL5+1</f>
        <v>46370</v>
      </c>
      <c r="BN5" s="87">
        <f>BM5+1</f>
        <v>46371</v>
      </c>
      <c r="BO5" s="87">
        <f t="shared" ref="BO5" si="3">BN5+1</f>
        <v>46372</v>
      </c>
      <c r="BP5" s="87">
        <f t="shared" ref="BP5" si="4">BO5+1</f>
        <v>46373</v>
      </c>
      <c r="BQ5" s="87">
        <f t="shared" ref="BQ5" si="5">BP5+1</f>
        <v>46374</v>
      </c>
      <c r="BR5" s="87">
        <f t="shared" ref="BR5" si="6">BQ5+1</f>
        <v>46375</v>
      </c>
      <c r="BS5" s="88">
        <f t="shared" ref="BS5" si="7">BR5+1</f>
        <v>46376</v>
      </c>
      <c r="BT5" s="86">
        <f>BS5+1</f>
        <v>46377</v>
      </c>
      <c r="BU5" s="87">
        <f>BT5+1</f>
        <v>46378</v>
      </c>
      <c r="BV5" s="87">
        <f t="shared" ref="BV5" si="8">BU5+1</f>
        <v>46379</v>
      </c>
      <c r="BW5" s="87">
        <f t="shared" ref="BW5" si="9">BV5+1</f>
        <v>46380</v>
      </c>
      <c r="BX5" s="87">
        <f t="shared" ref="BX5" si="10">BW5+1</f>
        <v>46381</v>
      </c>
      <c r="BY5" s="87">
        <f t="shared" ref="BY5" si="11">BX5+1</f>
        <v>46382</v>
      </c>
      <c r="BZ5" s="88">
        <f t="shared" ref="BZ5" si="12">BY5+1</f>
        <v>46383</v>
      </c>
      <c r="CA5" s="86">
        <f>BZ5+1</f>
        <v>46384</v>
      </c>
      <c r="CB5" s="87">
        <f>CA5+1</f>
        <v>46385</v>
      </c>
      <c r="CC5" s="87">
        <f t="shared" ref="CC5" si="13">CB5+1</f>
        <v>46386</v>
      </c>
      <c r="CD5" s="87">
        <f t="shared" ref="CD5" si="14">CC5+1</f>
        <v>46387</v>
      </c>
      <c r="CE5" s="87">
        <f t="shared" ref="CE5" si="15">CD5+1</f>
        <v>46388</v>
      </c>
      <c r="CF5" s="87">
        <f>CE5+1</f>
        <v>46389</v>
      </c>
      <c r="CG5" s="87">
        <f t="shared" ref="CG5" si="16">CF5+1</f>
        <v>46390</v>
      </c>
      <c r="CH5" s="87">
        <f t="shared" ref="CH5" si="17">CG5+1</f>
        <v>46391</v>
      </c>
      <c r="CI5" s="87">
        <f t="shared" ref="CI5" si="18">CH5+1</f>
        <v>46392</v>
      </c>
      <c r="CJ5" s="87">
        <f t="shared" ref="CJ5" si="19">CI5+1</f>
        <v>46393</v>
      </c>
      <c r="CK5" s="88">
        <f t="shared" ref="CK5" si="20">CJ5+1</f>
        <v>46394</v>
      </c>
      <c r="CL5" s="86">
        <f>CK5+1</f>
        <v>46395</v>
      </c>
      <c r="CM5" s="87">
        <f>CL5+1</f>
        <v>46396</v>
      </c>
      <c r="CN5" s="87">
        <f t="shared" ref="CN5" si="21">CM5+1</f>
        <v>46397</v>
      </c>
      <c r="CO5" s="87">
        <f t="shared" ref="CO5" si="22">CN5+1</f>
        <v>46398</v>
      </c>
      <c r="CP5" s="87">
        <f t="shared" ref="CP5" si="23">CO5+1</f>
        <v>46399</v>
      </c>
      <c r="CQ5" s="87">
        <f t="shared" ref="CQ5" si="24">CP5+1</f>
        <v>46400</v>
      </c>
      <c r="CR5" s="88">
        <f t="shared" ref="CR5" si="25">CQ5+1</f>
        <v>46401</v>
      </c>
      <c r="CS5" s="86">
        <f>CR5+1</f>
        <v>46402</v>
      </c>
      <c r="CT5" s="87">
        <f>CS5+1</f>
        <v>46403</v>
      </c>
      <c r="CU5" s="87">
        <f t="shared" ref="CU5" si="26">CT5+1</f>
        <v>46404</v>
      </c>
      <c r="CV5" s="87">
        <f t="shared" ref="CV5" si="27">CU5+1</f>
        <v>46405</v>
      </c>
      <c r="CW5" s="87">
        <f t="shared" ref="CW5" si="28">CV5+1</f>
        <v>46406</v>
      </c>
      <c r="CX5" s="87">
        <f t="shared" ref="CX5" si="29">CW5+1</f>
        <v>46407</v>
      </c>
      <c r="CY5" s="88">
        <f t="shared" ref="CY5" si="30">CX5+1</f>
        <v>46408</v>
      </c>
      <c r="CZ5" s="86">
        <f>CY5+1</f>
        <v>46409</v>
      </c>
      <c r="DA5" s="87">
        <f>CZ5+1</f>
        <v>46410</v>
      </c>
      <c r="DB5" s="87">
        <f t="shared" ref="DB5" si="31">DA5+1</f>
        <v>46411</v>
      </c>
      <c r="DC5" s="87">
        <f t="shared" ref="DC5" si="32">DB5+1</f>
        <v>46412</v>
      </c>
      <c r="DD5" s="87">
        <f t="shared" ref="DD5" si="33">DC5+1</f>
        <v>46413</v>
      </c>
      <c r="DE5" s="87">
        <f t="shared" ref="DE5" si="34">DD5+1</f>
        <v>46414</v>
      </c>
      <c r="DF5" s="88">
        <f t="shared" ref="DF5" si="35">DE5+1</f>
        <v>46415</v>
      </c>
      <c r="DG5" s="86">
        <f>DF5+1</f>
        <v>46416</v>
      </c>
      <c r="DH5" s="87">
        <f>DG5+1</f>
        <v>46417</v>
      </c>
      <c r="DI5" s="87">
        <f t="shared" ref="DI5" si="36">DH5+1</f>
        <v>46418</v>
      </c>
      <c r="DJ5" s="87">
        <f t="shared" ref="DJ5" si="37">DI5+1</f>
        <v>46419</v>
      </c>
      <c r="DK5" s="87">
        <f t="shared" ref="DK5" si="38">DJ5+1</f>
        <v>46420</v>
      </c>
      <c r="DL5" s="87">
        <f t="shared" ref="DL5" si="39">DK5+1</f>
        <v>46421</v>
      </c>
      <c r="DM5" s="88">
        <f t="shared" ref="DM5" si="40">DL5+1</f>
        <v>46422</v>
      </c>
      <c r="DN5" s="86">
        <f>DM5+1</f>
        <v>46423</v>
      </c>
      <c r="DO5" s="87">
        <f>DN5+1</f>
        <v>46424</v>
      </c>
      <c r="DP5" s="87">
        <f t="shared" ref="DP5" si="41">DO5+1</f>
        <v>46425</v>
      </c>
      <c r="DQ5" s="87">
        <f t="shared" ref="DQ5" si="42">DP5+1</f>
        <v>46426</v>
      </c>
      <c r="DR5" s="87">
        <f t="shared" ref="DR5" si="43">DQ5+1</f>
        <v>46427</v>
      </c>
      <c r="DS5" s="87">
        <f t="shared" ref="DS5" si="44">DR5+1</f>
        <v>46428</v>
      </c>
      <c r="DT5" s="88">
        <f t="shared" ref="DT5" si="45">DS5+1</f>
        <v>46429</v>
      </c>
      <c r="DU5" s="86">
        <f>DT5+1</f>
        <v>46430</v>
      </c>
      <c r="DV5" s="87">
        <f>DU5+1</f>
        <v>46431</v>
      </c>
      <c r="DW5" s="87">
        <f t="shared" ref="DW5" si="46">DV5+1</f>
        <v>46432</v>
      </c>
      <c r="DX5" s="87">
        <f t="shared" ref="DX5" si="47">DW5+1</f>
        <v>46433</v>
      </c>
      <c r="DY5" s="87">
        <f t="shared" ref="DY5" si="48">DX5+1</f>
        <v>46434</v>
      </c>
      <c r="DZ5" s="87">
        <f t="shared" ref="DZ5" si="49">DY5+1</f>
        <v>46435</v>
      </c>
      <c r="EA5" s="88">
        <f t="shared" ref="EA5" si="50">DZ5+1</f>
        <v>46436</v>
      </c>
      <c r="EB5" s="86">
        <f>EA5+1</f>
        <v>46437</v>
      </c>
      <c r="EC5" s="87">
        <f>EB5+1</f>
        <v>46438</v>
      </c>
      <c r="ED5" s="87">
        <f t="shared" ref="ED5" si="51">EC5+1</f>
        <v>46439</v>
      </c>
      <c r="EE5" s="87">
        <f t="shared" ref="EE5" si="52">ED5+1</f>
        <v>46440</v>
      </c>
      <c r="EF5" s="87">
        <f t="shared" ref="EF5" si="53">EE5+1</f>
        <v>46441</v>
      </c>
      <c r="EG5" s="87">
        <f t="shared" ref="EG5" si="54">EF5+1</f>
        <v>46442</v>
      </c>
      <c r="EH5" s="88">
        <f t="shared" ref="EH5" si="55">EG5+1</f>
        <v>46443</v>
      </c>
    </row>
    <row r="6" spans="1:138" ht="30" customHeight="1" thickBot="1" x14ac:dyDescent="0.35">
      <c r="A6" s="9" t="s">
        <v>4</v>
      </c>
      <c r="B6" s="35" t="s">
        <v>16</v>
      </c>
      <c r="C6" s="36" t="s">
        <v>47</v>
      </c>
      <c r="D6" s="36" t="s">
        <v>28</v>
      </c>
      <c r="E6" s="36" t="s">
        <v>29</v>
      </c>
      <c r="F6" s="36" t="s">
        <v>31</v>
      </c>
      <c r="G6" s="36"/>
      <c r="H6" s="36" t="s">
        <v>32</v>
      </c>
      <c r="I6" s="37" t="str">
        <f t="shared" ref="I6:AN6" si="56">LEFT(TEXT(I5,"aaa"),1)</f>
        <v>月</v>
      </c>
      <c r="J6" s="37" t="str">
        <f t="shared" si="56"/>
        <v>火</v>
      </c>
      <c r="K6" s="37" t="str">
        <f t="shared" si="56"/>
        <v>水</v>
      </c>
      <c r="L6" s="37" t="str">
        <f t="shared" si="56"/>
        <v>木</v>
      </c>
      <c r="M6" s="37" t="str">
        <f t="shared" si="56"/>
        <v>金</v>
      </c>
      <c r="N6" s="37" t="str">
        <f t="shared" si="56"/>
        <v>土</v>
      </c>
      <c r="O6" s="37" t="str">
        <f t="shared" si="56"/>
        <v>日</v>
      </c>
      <c r="P6" s="37" t="str">
        <f t="shared" si="56"/>
        <v>月</v>
      </c>
      <c r="Q6" s="37" t="str">
        <f t="shared" si="56"/>
        <v>火</v>
      </c>
      <c r="R6" s="37" t="str">
        <f t="shared" si="56"/>
        <v>水</v>
      </c>
      <c r="S6" s="37" t="str">
        <f t="shared" si="56"/>
        <v>木</v>
      </c>
      <c r="T6" s="37" t="str">
        <f t="shared" si="56"/>
        <v>金</v>
      </c>
      <c r="U6" s="37" t="str">
        <f t="shared" si="56"/>
        <v>土</v>
      </c>
      <c r="V6" s="37" t="str">
        <f t="shared" si="56"/>
        <v>日</v>
      </c>
      <c r="W6" s="37" t="str">
        <f t="shared" si="56"/>
        <v>月</v>
      </c>
      <c r="X6" s="37" t="str">
        <f t="shared" si="56"/>
        <v>火</v>
      </c>
      <c r="Y6" s="37" t="str">
        <f t="shared" si="56"/>
        <v>水</v>
      </c>
      <c r="Z6" s="37" t="str">
        <f t="shared" si="56"/>
        <v>木</v>
      </c>
      <c r="AA6" s="37" t="str">
        <f t="shared" si="56"/>
        <v>金</v>
      </c>
      <c r="AB6" s="37" t="str">
        <f t="shared" si="56"/>
        <v>土</v>
      </c>
      <c r="AC6" s="37" t="str">
        <f t="shared" si="56"/>
        <v>日</v>
      </c>
      <c r="AD6" s="37" t="str">
        <f t="shared" si="56"/>
        <v>月</v>
      </c>
      <c r="AE6" s="37" t="str">
        <f t="shared" si="56"/>
        <v>火</v>
      </c>
      <c r="AF6" s="37" t="str">
        <f t="shared" si="56"/>
        <v>水</v>
      </c>
      <c r="AG6" s="37" t="str">
        <f t="shared" si="56"/>
        <v>木</v>
      </c>
      <c r="AH6" s="37" t="str">
        <f t="shared" si="56"/>
        <v>金</v>
      </c>
      <c r="AI6" s="37" t="str">
        <f t="shared" si="56"/>
        <v>土</v>
      </c>
      <c r="AJ6" s="37" t="str">
        <f t="shared" si="56"/>
        <v>日</v>
      </c>
      <c r="AK6" s="37" t="str">
        <f t="shared" si="56"/>
        <v>月</v>
      </c>
      <c r="AL6" s="37" t="str">
        <f t="shared" si="56"/>
        <v>火</v>
      </c>
      <c r="AM6" s="37" t="str">
        <f t="shared" si="56"/>
        <v>水</v>
      </c>
      <c r="AN6" s="37" t="str">
        <f t="shared" si="56"/>
        <v>木</v>
      </c>
      <c r="AO6" s="37" t="str">
        <f t="shared" ref="AO6:CD6" si="57">LEFT(TEXT(AO5,"aaa"),1)</f>
        <v>金</v>
      </c>
      <c r="AP6" s="37" t="str">
        <f t="shared" si="57"/>
        <v>土</v>
      </c>
      <c r="AQ6" s="37" t="str">
        <f t="shared" si="57"/>
        <v>日</v>
      </c>
      <c r="AR6" s="37" t="str">
        <f t="shared" si="57"/>
        <v>月</v>
      </c>
      <c r="AS6" s="37" t="str">
        <f t="shared" si="57"/>
        <v>火</v>
      </c>
      <c r="AT6" s="37" t="str">
        <f t="shared" si="57"/>
        <v>水</v>
      </c>
      <c r="AU6" s="37" t="str">
        <f t="shared" si="57"/>
        <v>木</v>
      </c>
      <c r="AV6" s="37" t="str">
        <f t="shared" si="57"/>
        <v>金</v>
      </c>
      <c r="AW6" s="37" t="str">
        <f t="shared" si="57"/>
        <v>土</v>
      </c>
      <c r="AX6" s="37" t="str">
        <f t="shared" si="57"/>
        <v>日</v>
      </c>
      <c r="AY6" s="37" t="str">
        <f t="shared" si="57"/>
        <v>月</v>
      </c>
      <c r="AZ6" s="37" t="str">
        <f t="shared" si="57"/>
        <v>火</v>
      </c>
      <c r="BA6" s="37" t="str">
        <f t="shared" si="57"/>
        <v>水</v>
      </c>
      <c r="BB6" s="37" t="str">
        <f t="shared" si="57"/>
        <v>木</v>
      </c>
      <c r="BC6" s="37" t="str">
        <f t="shared" si="57"/>
        <v>金</v>
      </c>
      <c r="BD6" s="37" t="str">
        <f t="shared" si="57"/>
        <v>土</v>
      </c>
      <c r="BE6" s="37" t="str">
        <f t="shared" si="57"/>
        <v>日</v>
      </c>
      <c r="BF6" s="37" t="str">
        <f t="shared" si="57"/>
        <v>月</v>
      </c>
      <c r="BG6" s="37" t="str">
        <f t="shared" si="57"/>
        <v>火</v>
      </c>
      <c r="BH6" s="37" t="str">
        <f t="shared" si="57"/>
        <v>水</v>
      </c>
      <c r="BI6" s="37" t="str">
        <f t="shared" si="57"/>
        <v>木</v>
      </c>
      <c r="BJ6" s="37" t="str">
        <f t="shared" si="57"/>
        <v>金</v>
      </c>
      <c r="BK6" s="37" t="str">
        <f t="shared" si="57"/>
        <v>土</v>
      </c>
      <c r="BL6" s="37" t="str">
        <f t="shared" si="57"/>
        <v>日</v>
      </c>
      <c r="BM6" s="37" t="str">
        <f t="shared" si="57"/>
        <v>月</v>
      </c>
      <c r="BN6" s="37" t="str">
        <f t="shared" si="57"/>
        <v>火</v>
      </c>
      <c r="BO6" s="37" t="str">
        <f t="shared" si="57"/>
        <v>水</v>
      </c>
      <c r="BP6" s="37" t="str">
        <f t="shared" si="57"/>
        <v>木</v>
      </c>
      <c r="BQ6" s="37" t="str">
        <f t="shared" si="57"/>
        <v>金</v>
      </c>
      <c r="BR6" s="37" t="str">
        <f t="shared" si="57"/>
        <v>土</v>
      </c>
      <c r="BS6" s="37" t="str">
        <f t="shared" si="57"/>
        <v>日</v>
      </c>
      <c r="BT6" s="37" t="str">
        <f t="shared" si="57"/>
        <v>月</v>
      </c>
      <c r="BU6" s="37" t="str">
        <f t="shared" si="57"/>
        <v>火</v>
      </c>
      <c r="BV6" s="37" t="str">
        <f t="shared" si="57"/>
        <v>水</v>
      </c>
      <c r="BW6" s="37" t="str">
        <f t="shared" si="57"/>
        <v>木</v>
      </c>
      <c r="BX6" s="37" t="str">
        <f t="shared" si="57"/>
        <v>金</v>
      </c>
      <c r="BY6" s="37" t="str">
        <f t="shared" si="57"/>
        <v>土</v>
      </c>
      <c r="BZ6" s="37" t="str">
        <f t="shared" si="57"/>
        <v>日</v>
      </c>
      <c r="CA6" s="37" t="str">
        <f t="shared" si="57"/>
        <v>月</v>
      </c>
      <c r="CB6" s="37" t="str">
        <f t="shared" si="57"/>
        <v>火</v>
      </c>
      <c r="CC6" s="37" t="str">
        <f t="shared" si="57"/>
        <v>水</v>
      </c>
      <c r="CD6" s="37" t="str">
        <f t="shared" si="57"/>
        <v>木</v>
      </c>
      <c r="CE6" s="37" t="str">
        <f t="shared" ref="CE6:DT6" si="58">LEFT(TEXT(CE5,"aaa"),1)</f>
        <v>金</v>
      </c>
      <c r="CF6" s="37" t="str">
        <f t="shared" si="58"/>
        <v>土</v>
      </c>
      <c r="CG6" s="37" t="str">
        <f t="shared" si="58"/>
        <v>日</v>
      </c>
      <c r="CH6" s="37" t="str">
        <f t="shared" si="58"/>
        <v>月</v>
      </c>
      <c r="CI6" s="37" t="str">
        <f t="shared" si="58"/>
        <v>火</v>
      </c>
      <c r="CJ6" s="37" t="str">
        <f t="shared" si="58"/>
        <v>水</v>
      </c>
      <c r="CK6" s="37" t="str">
        <f t="shared" si="58"/>
        <v>木</v>
      </c>
      <c r="CL6" s="37" t="str">
        <f t="shared" si="58"/>
        <v>金</v>
      </c>
      <c r="CM6" s="37" t="str">
        <f t="shared" si="58"/>
        <v>土</v>
      </c>
      <c r="CN6" s="37" t="str">
        <f t="shared" si="58"/>
        <v>日</v>
      </c>
      <c r="CO6" s="37" t="str">
        <f t="shared" si="58"/>
        <v>月</v>
      </c>
      <c r="CP6" s="37" t="str">
        <f t="shared" si="58"/>
        <v>火</v>
      </c>
      <c r="CQ6" s="37" t="str">
        <f t="shared" si="58"/>
        <v>水</v>
      </c>
      <c r="CR6" s="37" t="str">
        <f t="shared" si="58"/>
        <v>木</v>
      </c>
      <c r="CS6" s="37" t="str">
        <f t="shared" si="58"/>
        <v>金</v>
      </c>
      <c r="CT6" s="37" t="str">
        <f t="shared" si="58"/>
        <v>土</v>
      </c>
      <c r="CU6" s="37" t="str">
        <f t="shared" si="58"/>
        <v>日</v>
      </c>
      <c r="CV6" s="37" t="str">
        <f t="shared" si="58"/>
        <v>月</v>
      </c>
      <c r="CW6" s="37" t="str">
        <f t="shared" si="58"/>
        <v>火</v>
      </c>
      <c r="CX6" s="37" t="str">
        <f t="shared" si="58"/>
        <v>水</v>
      </c>
      <c r="CY6" s="37" t="str">
        <f t="shared" si="58"/>
        <v>木</v>
      </c>
      <c r="CZ6" s="37" t="str">
        <f t="shared" si="58"/>
        <v>金</v>
      </c>
      <c r="DA6" s="37" t="str">
        <f t="shared" si="58"/>
        <v>土</v>
      </c>
      <c r="DB6" s="37" t="str">
        <f t="shared" si="58"/>
        <v>日</v>
      </c>
      <c r="DC6" s="37" t="str">
        <f t="shared" si="58"/>
        <v>月</v>
      </c>
      <c r="DD6" s="37" t="str">
        <f t="shared" si="58"/>
        <v>火</v>
      </c>
      <c r="DE6" s="37" t="str">
        <f t="shared" si="58"/>
        <v>水</v>
      </c>
      <c r="DF6" s="37" t="str">
        <f t="shared" si="58"/>
        <v>木</v>
      </c>
      <c r="DG6" s="37" t="str">
        <f t="shared" si="58"/>
        <v>金</v>
      </c>
      <c r="DH6" s="37" t="str">
        <f t="shared" si="58"/>
        <v>土</v>
      </c>
      <c r="DI6" s="37" t="str">
        <f t="shared" si="58"/>
        <v>日</v>
      </c>
      <c r="DJ6" s="37" t="str">
        <f t="shared" si="58"/>
        <v>月</v>
      </c>
      <c r="DK6" s="37" t="str">
        <f t="shared" si="58"/>
        <v>火</v>
      </c>
      <c r="DL6" s="37" t="str">
        <f t="shared" si="58"/>
        <v>水</v>
      </c>
      <c r="DM6" s="37" t="str">
        <f t="shared" si="58"/>
        <v>木</v>
      </c>
      <c r="DN6" s="97" t="str">
        <f t="shared" si="58"/>
        <v>金</v>
      </c>
      <c r="DO6" s="37" t="str">
        <f t="shared" si="58"/>
        <v>土</v>
      </c>
      <c r="DP6" s="37" t="str">
        <f t="shared" si="58"/>
        <v>日</v>
      </c>
      <c r="DQ6" s="37" t="str">
        <f t="shared" si="58"/>
        <v>月</v>
      </c>
      <c r="DR6" s="37" t="str">
        <f t="shared" si="58"/>
        <v>火</v>
      </c>
      <c r="DS6" s="37" t="str">
        <f t="shared" si="58"/>
        <v>水</v>
      </c>
      <c r="DT6" s="37" t="str">
        <f t="shared" si="58"/>
        <v>木</v>
      </c>
      <c r="DU6" s="37" t="str">
        <f t="shared" ref="DU6:EH6" si="59">LEFT(TEXT(DU5,"aaa"),1)</f>
        <v>金</v>
      </c>
      <c r="DV6" s="37" t="str">
        <f t="shared" si="59"/>
        <v>土</v>
      </c>
      <c r="DW6" s="37" t="str">
        <f t="shared" si="59"/>
        <v>日</v>
      </c>
      <c r="DX6" s="37" t="str">
        <f t="shared" si="59"/>
        <v>月</v>
      </c>
      <c r="DY6" s="37" t="str">
        <f t="shared" si="59"/>
        <v>火</v>
      </c>
      <c r="DZ6" s="37" t="str">
        <f t="shared" si="59"/>
        <v>水</v>
      </c>
      <c r="EA6" s="37" t="str">
        <f t="shared" si="59"/>
        <v>木</v>
      </c>
      <c r="EB6" s="37" t="str">
        <f t="shared" si="59"/>
        <v>金</v>
      </c>
      <c r="EC6" s="37" t="str">
        <f t="shared" si="59"/>
        <v>土</v>
      </c>
      <c r="ED6" s="37" t="str">
        <f t="shared" si="59"/>
        <v>日</v>
      </c>
      <c r="EE6" s="37" t="str">
        <f t="shared" si="59"/>
        <v>月</v>
      </c>
      <c r="EF6" s="37" t="str">
        <f t="shared" si="59"/>
        <v>火</v>
      </c>
      <c r="EG6" s="37" t="str">
        <f t="shared" si="59"/>
        <v>水</v>
      </c>
      <c r="EH6" s="37" t="str">
        <f t="shared" si="59"/>
        <v>木</v>
      </c>
    </row>
    <row r="7" spans="1:138" ht="30" hidden="1" customHeight="1" thickBot="1" x14ac:dyDescent="0.35">
      <c r="A7" s="8" t="s">
        <v>5</v>
      </c>
      <c r="C7" s="10"/>
      <c r="E7"/>
      <c r="H7" t="str">
        <f>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98"/>
      <c r="DO7" s="5"/>
      <c r="DP7" s="5"/>
      <c r="DQ7" s="5"/>
      <c r="DR7" s="5"/>
      <c r="DS7" s="5"/>
      <c r="DT7" s="5"/>
      <c r="DU7" s="5"/>
      <c r="DV7" s="5"/>
      <c r="DW7" s="5"/>
      <c r="DX7" s="5"/>
      <c r="DY7" s="5"/>
      <c r="DZ7" s="5"/>
      <c r="EA7" s="5"/>
      <c r="EB7" s="5"/>
      <c r="EC7" s="5"/>
      <c r="ED7" s="5"/>
      <c r="EE7" s="5"/>
      <c r="EF7" s="5"/>
      <c r="EG7" s="5"/>
      <c r="EH7" s="5"/>
    </row>
    <row r="8" spans="1:138" s="1" customFormat="1" ht="30" customHeight="1" thickBot="1" x14ac:dyDescent="0.35">
      <c r="A8" s="9" t="s">
        <v>6</v>
      </c>
      <c r="B8" s="38" t="s">
        <v>138</v>
      </c>
      <c r="C8" s="14"/>
      <c r="D8" s="39"/>
      <c r="E8" s="71"/>
      <c r="F8" s="72"/>
      <c r="G8" s="40"/>
      <c r="H8" s="40" t="str">
        <f t="shared" ref="H8:H115" si="60">IF(OR(ISBLANK(タスク_開始),ISBLANK(タスク_終了)),"",タスク_終了-タスク_開始+1)</f>
        <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98"/>
      <c r="DO8" s="5"/>
      <c r="DP8" s="5"/>
      <c r="DQ8" s="5"/>
      <c r="DR8" s="5"/>
      <c r="DS8" s="5"/>
      <c r="DT8" s="5"/>
      <c r="DU8" s="5"/>
      <c r="DV8" s="5"/>
      <c r="DW8" s="5"/>
      <c r="DX8" s="5"/>
      <c r="DY8" s="5"/>
      <c r="DZ8" s="5"/>
      <c r="EA8" s="5"/>
      <c r="EB8" s="5"/>
      <c r="EC8" s="5"/>
      <c r="ED8" s="5"/>
      <c r="EE8" s="5"/>
      <c r="EF8" s="5"/>
      <c r="EG8" s="5"/>
      <c r="EH8" s="5"/>
    </row>
    <row r="9" spans="1:138" s="1" customFormat="1" ht="30" customHeight="1" thickBot="1" x14ac:dyDescent="0.35">
      <c r="A9" s="9" t="s">
        <v>7</v>
      </c>
      <c r="B9" s="23" t="s">
        <v>50</v>
      </c>
      <c r="C9" s="15" t="s">
        <v>55</v>
      </c>
      <c r="D9" s="41">
        <v>0</v>
      </c>
      <c r="E9" s="73">
        <f>プロジェクトの開始</f>
        <v>46316</v>
      </c>
      <c r="F9" s="73">
        <f>E9</f>
        <v>46316</v>
      </c>
      <c r="G9" s="40"/>
      <c r="H9" s="40">
        <f t="shared" si="60"/>
        <v>1</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98"/>
      <c r="DO9" s="5"/>
      <c r="DP9" s="5"/>
      <c r="DQ9" s="5"/>
      <c r="DR9" s="5"/>
      <c r="DS9" s="5"/>
      <c r="DT9" s="5"/>
      <c r="DU9" s="5"/>
      <c r="DV9" s="5"/>
      <c r="DW9" s="5"/>
      <c r="DX9" s="5"/>
      <c r="DY9" s="5"/>
      <c r="DZ9" s="5"/>
      <c r="EA9" s="5"/>
      <c r="EB9" s="5"/>
      <c r="EC9" s="5"/>
      <c r="ED9" s="5"/>
      <c r="EE9" s="5"/>
      <c r="EF9" s="5"/>
      <c r="EG9" s="5"/>
      <c r="EH9" s="5"/>
    </row>
    <row r="10" spans="1:138" s="1" customFormat="1" ht="30" customHeight="1" thickBot="1" x14ac:dyDescent="0.35">
      <c r="A10" s="9" t="s">
        <v>8</v>
      </c>
      <c r="B10" s="23" t="s">
        <v>51</v>
      </c>
      <c r="C10" s="15" t="s">
        <v>55</v>
      </c>
      <c r="D10" s="41">
        <v>0</v>
      </c>
      <c r="E10" s="73">
        <f>F9</f>
        <v>46316</v>
      </c>
      <c r="F10" s="73">
        <f>E10</f>
        <v>46316</v>
      </c>
      <c r="G10" s="40"/>
      <c r="H10" s="40">
        <f t="shared" si="60"/>
        <v>1</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98"/>
      <c r="DO10" s="5"/>
      <c r="DP10" s="5"/>
      <c r="DQ10" s="5"/>
      <c r="DR10" s="5"/>
      <c r="DS10" s="5"/>
      <c r="DT10" s="5"/>
      <c r="DU10" s="5"/>
      <c r="DV10" s="5"/>
      <c r="DW10" s="5"/>
      <c r="DX10" s="5"/>
      <c r="DY10" s="5"/>
      <c r="DZ10" s="5"/>
      <c r="EA10" s="5"/>
      <c r="EB10" s="5"/>
      <c r="EC10" s="5"/>
      <c r="ED10" s="5"/>
      <c r="EE10" s="5"/>
      <c r="EF10" s="5"/>
      <c r="EG10" s="5"/>
      <c r="EH10" s="5"/>
    </row>
    <row r="11" spans="1:138" s="1" customFormat="1" ht="30" customHeight="1" thickBot="1" x14ac:dyDescent="0.35">
      <c r="A11" s="8"/>
      <c r="B11" s="23" t="s">
        <v>52</v>
      </c>
      <c r="C11" s="15" t="s">
        <v>55</v>
      </c>
      <c r="D11" s="41">
        <v>0</v>
      </c>
      <c r="E11" s="73">
        <f t="shared" ref="E11:E12" si="61">F10</f>
        <v>46316</v>
      </c>
      <c r="F11" s="73">
        <f>E11</f>
        <v>46316</v>
      </c>
      <c r="G11" s="40"/>
      <c r="H11" s="40">
        <f t="shared" si="60"/>
        <v>1</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98"/>
      <c r="DO11" s="5"/>
      <c r="DP11" s="5"/>
      <c r="DQ11" s="5"/>
      <c r="DR11" s="5"/>
      <c r="DS11" s="5"/>
      <c r="DT11" s="5"/>
      <c r="DU11" s="5"/>
      <c r="DV11" s="5"/>
      <c r="DW11" s="5"/>
      <c r="DX11" s="5"/>
      <c r="DY11" s="5"/>
      <c r="DZ11" s="5"/>
      <c r="EA11" s="5"/>
      <c r="EB11" s="5"/>
      <c r="EC11" s="5"/>
      <c r="ED11" s="5"/>
      <c r="EE11" s="5"/>
      <c r="EF11" s="5"/>
      <c r="EG11" s="5"/>
      <c r="EH11" s="5"/>
    </row>
    <row r="12" spans="1:138" s="1" customFormat="1" ht="30" customHeight="1" thickBot="1" x14ac:dyDescent="0.35">
      <c r="A12" s="8"/>
      <c r="B12" s="23" t="s">
        <v>53</v>
      </c>
      <c r="C12" s="15" t="s">
        <v>55</v>
      </c>
      <c r="D12" s="41">
        <v>0</v>
      </c>
      <c r="E12" s="73">
        <f t="shared" si="61"/>
        <v>46316</v>
      </c>
      <c r="F12" s="73">
        <f>E12+1</f>
        <v>46317</v>
      </c>
      <c r="G12" s="40"/>
      <c r="H12" s="40">
        <f t="shared" si="60"/>
        <v>2</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6"/>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6"/>
      <c r="DJ12" s="5"/>
      <c r="DK12" s="5"/>
      <c r="DL12" s="5"/>
      <c r="DM12" s="5"/>
      <c r="DN12" s="98"/>
      <c r="DO12" s="5"/>
      <c r="DP12" s="5"/>
      <c r="DQ12" s="5"/>
      <c r="DR12" s="5"/>
      <c r="DS12" s="5"/>
      <c r="DT12" s="5"/>
      <c r="DU12" s="5"/>
      <c r="DV12" s="5"/>
      <c r="DW12" s="5"/>
      <c r="DX12" s="5"/>
      <c r="DY12" s="5"/>
      <c r="DZ12" s="5"/>
      <c r="EA12" s="5"/>
      <c r="EB12" s="5"/>
      <c r="EC12" s="5"/>
      <c r="ED12" s="6"/>
      <c r="EE12" s="5"/>
      <c r="EF12" s="5"/>
      <c r="EG12" s="5"/>
      <c r="EH12" s="5"/>
    </row>
    <row r="13" spans="1:138" s="1" customFormat="1" ht="30" customHeight="1" thickBot="1" x14ac:dyDescent="0.35">
      <c r="A13" s="8"/>
      <c r="B13" s="23" t="s">
        <v>54</v>
      </c>
      <c r="C13" s="15" t="s">
        <v>55</v>
      </c>
      <c r="D13" s="41">
        <v>0</v>
      </c>
      <c r="E13" s="73">
        <f>F12+1</f>
        <v>46318</v>
      </c>
      <c r="F13" s="73">
        <f>E13+2</f>
        <v>46320</v>
      </c>
      <c r="G13" s="40"/>
      <c r="H13" s="40">
        <f t="shared" si="60"/>
        <v>3</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98"/>
      <c r="DO13" s="5"/>
      <c r="DP13" s="5"/>
      <c r="DQ13" s="5"/>
      <c r="DR13" s="5"/>
      <c r="DS13" s="5"/>
      <c r="DT13" s="5"/>
      <c r="DU13" s="5"/>
      <c r="DV13" s="5"/>
      <c r="DW13" s="5"/>
      <c r="DX13" s="5"/>
      <c r="DY13" s="5"/>
      <c r="DZ13" s="5"/>
      <c r="EA13" s="5"/>
      <c r="EB13" s="5"/>
      <c r="EC13" s="5"/>
      <c r="ED13" s="5"/>
      <c r="EE13" s="5"/>
      <c r="EF13" s="5"/>
      <c r="EG13" s="5"/>
      <c r="EH13" s="5"/>
    </row>
    <row r="14" spans="1:138" s="1" customFormat="1" ht="30" customHeight="1" thickBot="1" x14ac:dyDescent="0.35">
      <c r="A14" s="8"/>
      <c r="B14" s="23" t="s">
        <v>56</v>
      </c>
      <c r="C14" s="15" t="s">
        <v>55</v>
      </c>
      <c r="D14" s="41">
        <v>0</v>
      </c>
      <c r="E14" s="73">
        <f>F13</f>
        <v>46320</v>
      </c>
      <c r="F14" s="73">
        <f>E14+1</f>
        <v>46321</v>
      </c>
      <c r="G14" s="40"/>
      <c r="H14" s="40">
        <f t="shared" si="60"/>
        <v>2</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98"/>
      <c r="DO14" s="5"/>
      <c r="DP14" s="5"/>
      <c r="DQ14" s="5"/>
      <c r="DR14" s="5"/>
      <c r="DS14" s="5"/>
      <c r="DT14" s="5"/>
      <c r="DU14" s="5"/>
      <c r="DV14" s="5"/>
      <c r="DW14" s="5"/>
      <c r="DX14" s="5"/>
      <c r="DY14" s="5"/>
      <c r="DZ14" s="5"/>
      <c r="EA14" s="5"/>
      <c r="EB14" s="5"/>
      <c r="EC14" s="5"/>
      <c r="ED14" s="5"/>
      <c r="EE14" s="5"/>
      <c r="EF14" s="5"/>
      <c r="EG14" s="5"/>
      <c r="EH14" s="5"/>
    </row>
    <row r="15" spans="1:138" s="1" customFormat="1" ht="30" customHeight="1" thickBot="1" x14ac:dyDescent="0.35">
      <c r="A15" s="8"/>
      <c r="B15" s="23" t="s">
        <v>57</v>
      </c>
      <c r="C15" s="15" t="s">
        <v>55</v>
      </c>
      <c r="D15" s="41">
        <v>0</v>
      </c>
      <c r="E15" s="73">
        <f t="shared" ref="E15:E73" si="62">F14+1</f>
        <v>46322</v>
      </c>
      <c r="F15" s="73">
        <f>E15</f>
        <v>46322</v>
      </c>
      <c r="G15" s="40"/>
      <c r="H15" s="40">
        <f t="shared" si="60"/>
        <v>1</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98"/>
      <c r="DO15" s="5"/>
      <c r="DP15" s="5"/>
      <c r="DQ15" s="5"/>
      <c r="DR15" s="5"/>
      <c r="DS15" s="5"/>
      <c r="DT15" s="5"/>
      <c r="DU15" s="5"/>
      <c r="DV15" s="5"/>
      <c r="DW15" s="5"/>
      <c r="DX15" s="5"/>
      <c r="DY15" s="5"/>
      <c r="DZ15" s="5"/>
      <c r="EA15" s="5"/>
      <c r="EB15" s="5"/>
      <c r="EC15" s="5"/>
      <c r="ED15" s="5"/>
      <c r="EE15" s="5"/>
      <c r="EF15" s="5"/>
      <c r="EG15" s="5"/>
      <c r="EH15" s="5"/>
    </row>
    <row r="16" spans="1:138" s="1" customFormat="1" ht="30" customHeight="1" thickBot="1" x14ac:dyDescent="0.35">
      <c r="A16" s="8"/>
      <c r="B16" s="23" t="s">
        <v>58</v>
      </c>
      <c r="C16" s="15" t="s">
        <v>55</v>
      </c>
      <c r="D16" s="41">
        <v>0</v>
      </c>
      <c r="E16" s="73">
        <f>F15</f>
        <v>46322</v>
      </c>
      <c r="F16" s="73">
        <f>E16+1</f>
        <v>46323</v>
      </c>
      <c r="G16" s="40"/>
      <c r="H16" s="40">
        <f t="shared" si="60"/>
        <v>2</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98"/>
      <c r="DO16" s="5"/>
      <c r="DP16" s="5"/>
      <c r="DQ16" s="5"/>
      <c r="DR16" s="5"/>
      <c r="DS16" s="5"/>
      <c r="DT16" s="5"/>
      <c r="DU16" s="5"/>
      <c r="DV16" s="5"/>
      <c r="DW16" s="5"/>
      <c r="DX16" s="5"/>
      <c r="DY16" s="5"/>
      <c r="DZ16" s="5"/>
      <c r="EA16" s="5"/>
      <c r="EB16" s="5"/>
      <c r="EC16" s="5"/>
      <c r="ED16" s="5"/>
      <c r="EE16" s="5"/>
      <c r="EF16" s="5"/>
      <c r="EG16" s="5"/>
      <c r="EH16" s="5"/>
    </row>
    <row r="17" spans="1:138" s="1" customFormat="1" ht="30" customHeight="1" thickBot="1" x14ac:dyDescent="0.35">
      <c r="A17" s="8"/>
      <c r="B17" s="23" t="s">
        <v>135</v>
      </c>
      <c r="C17" s="15" t="s">
        <v>55</v>
      </c>
      <c r="D17" s="41">
        <v>0</v>
      </c>
      <c r="E17" s="73">
        <f t="shared" si="62"/>
        <v>46324</v>
      </c>
      <c r="F17" s="73">
        <f>E17</f>
        <v>46324</v>
      </c>
      <c r="G17" s="40"/>
      <c r="H17" s="40">
        <f t="shared" si="60"/>
        <v>1</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98"/>
      <c r="DO17" s="5"/>
      <c r="DP17" s="5"/>
      <c r="DQ17" s="5"/>
      <c r="DR17" s="5"/>
      <c r="DS17" s="5"/>
      <c r="DT17" s="5"/>
      <c r="DU17" s="5"/>
      <c r="DV17" s="5"/>
      <c r="DW17" s="5"/>
      <c r="DX17" s="5"/>
      <c r="DY17" s="5"/>
      <c r="DZ17" s="5"/>
      <c r="EA17" s="5"/>
      <c r="EB17" s="5"/>
      <c r="EC17" s="5"/>
      <c r="ED17" s="5"/>
      <c r="EE17" s="5"/>
      <c r="EF17" s="5"/>
      <c r="EG17" s="5"/>
      <c r="EH17" s="5"/>
    </row>
    <row r="18" spans="1:138" s="1" customFormat="1" ht="30" customHeight="1" thickBot="1" x14ac:dyDescent="0.35">
      <c r="A18" s="8"/>
      <c r="B18" s="23" t="s">
        <v>59</v>
      </c>
      <c r="C18" s="15" t="s">
        <v>55</v>
      </c>
      <c r="D18" s="41">
        <v>0</v>
      </c>
      <c r="E18" s="73">
        <f>F17</f>
        <v>46324</v>
      </c>
      <c r="F18" s="73">
        <f>E18+2</f>
        <v>46326</v>
      </c>
      <c r="G18" s="40"/>
      <c r="H18" s="40">
        <f t="shared" si="60"/>
        <v>3</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98"/>
      <c r="DO18" s="5"/>
      <c r="DP18" s="5"/>
      <c r="DQ18" s="5"/>
      <c r="DR18" s="5"/>
      <c r="DS18" s="5"/>
      <c r="DT18" s="5"/>
      <c r="DU18" s="5"/>
      <c r="DV18" s="5"/>
      <c r="DW18" s="5"/>
      <c r="DX18" s="5"/>
      <c r="DY18" s="5"/>
      <c r="DZ18" s="5"/>
      <c r="EA18" s="5"/>
      <c r="EB18" s="5"/>
      <c r="EC18" s="5"/>
      <c r="ED18" s="5"/>
      <c r="EE18" s="5"/>
      <c r="EF18" s="5"/>
      <c r="EG18" s="5"/>
      <c r="EH18" s="5"/>
    </row>
    <row r="19" spans="1:138" s="1" customFormat="1" ht="30" customHeight="1" thickBot="1" x14ac:dyDescent="0.35">
      <c r="A19" s="8"/>
      <c r="B19" s="23" t="s">
        <v>60</v>
      </c>
      <c r="C19" s="15" t="s">
        <v>55</v>
      </c>
      <c r="D19" s="41">
        <v>0</v>
      </c>
      <c r="E19" s="73">
        <f t="shared" si="62"/>
        <v>46327</v>
      </c>
      <c r="F19" s="73">
        <f>E19</f>
        <v>46327</v>
      </c>
      <c r="G19" s="40"/>
      <c r="H19" s="40">
        <f t="shared" si="60"/>
        <v>1</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98"/>
      <c r="DO19" s="5"/>
      <c r="DP19" s="5"/>
      <c r="DQ19" s="5"/>
      <c r="DR19" s="5"/>
      <c r="DS19" s="5"/>
      <c r="DT19" s="5"/>
      <c r="DU19" s="5"/>
      <c r="DV19" s="5"/>
      <c r="DW19" s="5"/>
      <c r="DX19" s="5"/>
      <c r="DY19" s="5"/>
      <c r="DZ19" s="5"/>
      <c r="EA19" s="5"/>
      <c r="EB19" s="5"/>
      <c r="EC19" s="5"/>
      <c r="ED19" s="5"/>
      <c r="EE19" s="5"/>
      <c r="EF19" s="5"/>
      <c r="EG19" s="5"/>
      <c r="EH19" s="5"/>
    </row>
    <row r="20" spans="1:138" s="1" customFormat="1" ht="30" customHeight="1" thickBot="1" x14ac:dyDescent="0.35">
      <c r="A20" s="8"/>
      <c r="B20" s="23" t="s">
        <v>61</v>
      </c>
      <c r="C20" s="15" t="s">
        <v>55</v>
      </c>
      <c r="D20" s="41">
        <v>0</v>
      </c>
      <c r="E20" s="73">
        <f t="shared" si="62"/>
        <v>46328</v>
      </c>
      <c r="F20" s="73">
        <f>E20+1</f>
        <v>46329</v>
      </c>
      <c r="G20" s="40"/>
      <c r="H20" s="40">
        <f t="shared" si="60"/>
        <v>2</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98"/>
      <c r="DO20" s="5"/>
      <c r="DP20" s="5"/>
      <c r="DQ20" s="5"/>
      <c r="DR20" s="5"/>
      <c r="DS20" s="5"/>
      <c r="DT20" s="5"/>
      <c r="DU20" s="5"/>
      <c r="DV20" s="5"/>
      <c r="DW20" s="5"/>
      <c r="DX20" s="5"/>
      <c r="DY20" s="5"/>
      <c r="DZ20" s="5"/>
      <c r="EA20" s="5"/>
      <c r="EB20" s="5"/>
      <c r="EC20" s="5"/>
      <c r="ED20" s="5"/>
      <c r="EE20" s="5"/>
      <c r="EF20" s="5"/>
      <c r="EG20" s="5"/>
      <c r="EH20" s="5"/>
    </row>
    <row r="21" spans="1:138" s="1" customFormat="1" ht="30" customHeight="1" thickBot="1" x14ac:dyDescent="0.35">
      <c r="A21" s="8"/>
      <c r="B21" s="23" t="s">
        <v>62</v>
      </c>
      <c r="C21" s="15" t="s">
        <v>55</v>
      </c>
      <c r="D21" s="41">
        <v>0</v>
      </c>
      <c r="E21" s="73">
        <f>F20+1</f>
        <v>46330</v>
      </c>
      <c r="F21" s="73">
        <f>E21+1</f>
        <v>46331</v>
      </c>
      <c r="G21" s="40"/>
      <c r="H21" s="40">
        <f t="shared" si="60"/>
        <v>2</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98"/>
      <c r="DO21" s="5"/>
      <c r="DP21" s="5"/>
      <c r="DQ21" s="5"/>
      <c r="DR21" s="5"/>
      <c r="DS21" s="5"/>
      <c r="DT21" s="5"/>
      <c r="DU21" s="5"/>
      <c r="DV21" s="5"/>
      <c r="DW21" s="5"/>
      <c r="DX21" s="5"/>
      <c r="DY21" s="5"/>
      <c r="DZ21" s="5"/>
      <c r="EA21" s="5"/>
      <c r="EB21" s="5"/>
      <c r="EC21" s="5"/>
      <c r="ED21" s="5"/>
      <c r="EE21" s="5"/>
      <c r="EF21" s="5"/>
      <c r="EG21" s="5"/>
      <c r="EH21" s="5"/>
    </row>
    <row r="22" spans="1:138" s="1" customFormat="1" ht="30" customHeight="1" thickBot="1" x14ac:dyDescent="0.35">
      <c r="A22" s="8"/>
      <c r="B22" s="23" t="s">
        <v>63</v>
      </c>
      <c r="C22" s="15" t="s">
        <v>55</v>
      </c>
      <c r="D22" s="41">
        <v>0</v>
      </c>
      <c r="E22" s="73">
        <f>F21</f>
        <v>46331</v>
      </c>
      <c r="F22" s="73">
        <f>E22</f>
        <v>46331</v>
      </c>
      <c r="G22" s="40"/>
      <c r="H22" s="40">
        <f t="shared" si="60"/>
        <v>1</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98"/>
      <c r="DO22" s="5"/>
      <c r="DP22" s="5"/>
      <c r="DQ22" s="5"/>
      <c r="DR22" s="5"/>
      <c r="DS22" s="5"/>
      <c r="DT22" s="5"/>
      <c r="DU22" s="5"/>
      <c r="DV22" s="5"/>
      <c r="DW22" s="5"/>
      <c r="DX22" s="5"/>
      <c r="DY22" s="5"/>
      <c r="DZ22" s="5"/>
      <c r="EA22" s="5"/>
      <c r="EB22" s="5"/>
      <c r="EC22" s="5"/>
      <c r="ED22" s="5"/>
      <c r="EE22" s="5"/>
      <c r="EF22" s="5"/>
      <c r="EG22" s="5"/>
      <c r="EH22" s="5"/>
    </row>
    <row r="23" spans="1:138" s="1" customFormat="1" ht="30" customHeight="1" thickBot="1" x14ac:dyDescent="0.35">
      <c r="A23" s="8"/>
      <c r="B23" s="23" t="s">
        <v>64</v>
      </c>
      <c r="C23" s="15" t="s">
        <v>55</v>
      </c>
      <c r="D23" s="41">
        <v>0</v>
      </c>
      <c r="E23" s="73">
        <f>F22+1</f>
        <v>46332</v>
      </c>
      <c r="F23" s="73">
        <f>E23</f>
        <v>46332</v>
      </c>
      <c r="G23" s="40"/>
      <c r="H23" s="40">
        <f t="shared" si="60"/>
        <v>1</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98"/>
      <c r="DO23" s="5"/>
      <c r="DP23" s="5"/>
      <c r="DQ23" s="5"/>
      <c r="DR23" s="5"/>
      <c r="DS23" s="5"/>
      <c r="DT23" s="5"/>
      <c r="DU23" s="5"/>
      <c r="DV23" s="5"/>
      <c r="DW23" s="5"/>
      <c r="DX23" s="5"/>
      <c r="DY23" s="5"/>
      <c r="DZ23" s="5"/>
      <c r="EA23" s="5"/>
      <c r="EB23" s="5"/>
      <c r="EC23" s="5"/>
      <c r="ED23" s="5"/>
      <c r="EE23" s="5"/>
      <c r="EF23" s="5"/>
      <c r="EG23" s="5"/>
      <c r="EH23" s="5"/>
    </row>
    <row r="24" spans="1:138" s="1" customFormat="1" ht="30" customHeight="1" thickBot="1" x14ac:dyDescent="0.35">
      <c r="A24" s="8"/>
      <c r="B24" s="23" t="s">
        <v>65</v>
      </c>
      <c r="C24" s="15" t="s">
        <v>55</v>
      </c>
      <c r="D24" s="41">
        <v>0</v>
      </c>
      <c r="E24" s="73">
        <f>F23</f>
        <v>46332</v>
      </c>
      <c r="F24" s="73">
        <f>E24+3</f>
        <v>46335</v>
      </c>
      <c r="G24" s="40"/>
      <c r="H24" s="40">
        <f t="shared" si="60"/>
        <v>4</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98"/>
      <c r="DO24" s="5"/>
      <c r="DP24" s="5"/>
      <c r="DQ24" s="5"/>
      <c r="DR24" s="5"/>
      <c r="DS24" s="5"/>
      <c r="DT24" s="5"/>
      <c r="DU24" s="5"/>
      <c r="DV24" s="5"/>
      <c r="DW24" s="5"/>
      <c r="DX24" s="5"/>
      <c r="DY24" s="5"/>
      <c r="DZ24" s="5"/>
      <c r="EA24" s="5"/>
      <c r="EB24" s="5"/>
      <c r="EC24" s="5"/>
      <c r="ED24" s="5"/>
      <c r="EE24" s="5"/>
      <c r="EF24" s="5"/>
      <c r="EG24" s="5"/>
      <c r="EH24" s="5"/>
    </row>
    <row r="25" spans="1:138" s="1" customFormat="1" ht="30" customHeight="1" thickBot="1" x14ac:dyDescent="0.35">
      <c r="A25" s="8"/>
      <c r="B25" s="23" t="s">
        <v>66</v>
      </c>
      <c r="C25" s="15" t="s">
        <v>55</v>
      </c>
      <c r="D25" s="41">
        <v>0</v>
      </c>
      <c r="E25" s="73">
        <f>F24</f>
        <v>46335</v>
      </c>
      <c r="F25" s="73">
        <f>E25+1</f>
        <v>46336</v>
      </c>
      <c r="G25" s="40"/>
      <c r="H25" s="40">
        <f t="shared" si="60"/>
        <v>2</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98"/>
      <c r="DO25" s="5"/>
      <c r="DP25" s="5"/>
      <c r="DQ25" s="5"/>
      <c r="DR25" s="5"/>
      <c r="DS25" s="5"/>
      <c r="DT25" s="5"/>
      <c r="DU25" s="5"/>
      <c r="DV25" s="5"/>
      <c r="DW25" s="5"/>
      <c r="DX25" s="5"/>
      <c r="DY25" s="5"/>
      <c r="DZ25" s="5"/>
      <c r="EA25" s="5"/>
      <c r="EB25" s="5"/>
      <c r="EC25" s="5"/>
      <c r="ED25" s="5"/>
      <c r="EE25" s="5"/>
      <c r="EF25" s="5"/>
      <c r="EG25" s="5"/>
      <c r="EH25" s="5"/>
    </row>
    <row r="26" spans="1:138" s="1" customFormat="1" ht="30" customHeight="1" thickBot="1" x14ac:dyDescent="0.35">
      <c r="A26" s="8"/>
      <c r="B26" s="23" t="s">
        <v>67</v>
      </c>
      <c r="C26" s="15" t="s">
        <v>55</v>
      </c>
      <c r="D26" s="41">
        <v>0</v>
      </c>
      <c r="E26" s="73">
        <f>F25</f>
        <v>46336</v>
      </c>
      <c r="F26" s="73">
        <f>E26</f>
        <v>46336</v>
      </c>
      <c r="G26" s="40"/>
      <c r="H26" s="40">
        <f t="shared" si="60"/>
        <v>1</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98"/>
      <c r="DO26" s="5"/>
      <c r="DP26" s="5"/>
      <c r="DQ26" s="5"/>
      <c r="DR26" s="5"/>
      <c r="DS26" s="5"/>
      <c r="DT26" s="5"/>
      <c r="DU26" s="5"/>
      <c r="DV26" s="5"/>
      <c r="DW26" s="5"/>
      <c r="DX26" s="5"/>
      <c r="DY26" s="5"/>
      <c r="DZ26" s="5"/>
      <c r="EA26" s="5"/>
      <c r="EB26" s="5"/>
      <c r="EC26" s="5"/>
      <c r="ED26" s="5"/>
      <c r="EE26" s="5"/>
      <c r="EF26" s="5"/>
      <c r="EG26" s="5"/>
      <c r="EH26" s="5"/>
    </row>
    <row r="27" spans="1:138" s="1" customFormat="1" ht="30" customHeight="1" thickBot="1" x14ac:dyDescent="0.35">
      <c r="A27" s="8"/>
      <c r="B27" s="23" t="s">
        <v>68</v>
      </c>
      <c r="C27" s="15" t="s">
        <v>55</v>
      </c>
      <c r="D27" s="41">
        <v>0</v>
      </c>
      <c r="E27" s="73">
        <f>F26+1</f>
        <v>46337</v>
      </c>
      <c r="F27" s="73">
        <f>E27</f>
        <v>46337</v>
      </c>
      <c r="G27" s="40"/>
      <c r="H27" s="40">
        <f t="shared" si="60"/>
        <v>1</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98"/>
      <c r="DO27" s="5"/>
      <c r="DP27" s="5"/>
      <c r="DQ27" s="5"/>
      <c r="DR27" s="5"/>
      <c r="DS27" s="5"/>
      <c r="DT27" s="5"/>
      <c r="DU27" s="5"/>
      <c r="DV27" s="5"/>
      <c r="DW27" s="5"/>
      <c r="DX27" s="5"/>
      <c r="DY27" s="5"/>
      <c r="DZ27" s="5"/>
      <c r="EA27" s="5"/>
      <c r="EB27" s="5"/>
      <c r="EC27" s="5"/>
      <c r="ED27" s="5"/>
      <c r="EE27" s="5"/>
      <c r="EF27" s="5"/>
      <c r="EG27" s="5"/>
      <c r="EH27" s="5"/>
    </row>
    <row r="28" spans="1:138" s="1" customFormat="1" ht="30" customHeight="1" thickBot="1" x14ac:dyDescent="0.35">
      <c r="A28" s="8"/>
      <c r="B28" s="23" t="s">
        <v>69</v>
      </c>
      <c r="C28" s="15" t="s">
        <v>55</v>
      </c>
      <c r="D28" s="41">
        <v>0</v>
      </c>
      <c r="E28" s="73">
        <f>F27+1</f>
        <v>46338</v>
      </c>
      <c r="F28" s="73">
        <f>E28</f>
        <v>46338</v>
      </c>
      <c r="G28" s="40"/>
      <c r="H28" s="40">
        <f t="shared" si="60"/>
        <v>1</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98"/>
      <c r="DO28" s="5"/>
      <c r="DP28" s="5"/>
      <c r="DQ28" s="5"/>
      <c r="DR28" s="5"/>
      <c r="DS28" s="5"/>
      <c r="DT28" s="5"/>
      <c r="DU28" s="5"/>
      <c r="DV28" s="5"/>
      <c r="DW28" s="5"/>
      <c r="DX28" s="5"/>
      <c r="DY28" s="5"/>
      <c r="DZ28" s="5"/>
      <c r="EA28" s="5"/>
      <c r="EB28" s="5"/>
      <c r="EC28" s="5"/>
      <c r="ED28" s="5"/>
      <c r="EE28" s="5"/>
      <c r="EF28" s="5"/>
      <c r="EG28" s="5"/>
      <c r="EH28" s="5"/>
    </row>
    <row r="29" spans="1:138" s="1" customFormat="1" ht="30" customHeight="1" thickBot="1" x14ac:dyDescent="0.35">
      <c r="A29" s="8"/>
      <c r="B29" s="23" t="s">
        <v>70</v>
      </c>
      <c r="C29" s="15" t="s">
        <v>55</v>
      </c>
      <c r="D29" s="41">
        <v>0</v>
      </c>
      <c r="E29" s="73">
        <f>F28</f>
        <v>46338</v>
      </c>
      <c r="F29" s="73">
        <f>E29</f>
        <v>46338</v>
      </c>
      <c r="G29" s="40"/>
      <c r="H29" s="40">
        <f t="shared" si="60"/>
        <v>1</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98"/>
      <c r="DO29" s="5"/>
      <c r="DP29" s="5"/>
      <c r="DQ29" s="5"/>
      <c r="DR29" s="5"/>
      <c r="DS29" s="5"/>
      <c r="DT29" s="5"/>
      <c r="DU29" s="5"/>
      <c r="DV29" s="5"/>
      <c r="DW29" s="5"/>
      <c r="DX29" s="5"/>
      <c r="DY29" s="5"/>
      <c r="DZ29" s="5"/>
      <c r="EA29" s="5"/>
      <c r="EB29" s="5"/>
      <c r="EC29" s="5"/>
      <c r="ED29" s="5"/>
      <c r="EE29" s="5"/>
      <c r="EF29" s="5"/>
      <c r="EG29" s="5"/>
      <c r="EH29" s="5"/>
    </row>
    <row r="30" spans="1:138" s="1" customFormat="1" ht="30" customHeight="1" thickBot="1" x14ac:dyDescent="0.35">
      <c r="A30" s="8"/>
      <c r="B30" s="23" t="s">
        <v>71</v>
      </c>
      <c r="C30" s="15" t="s">
        <v>55</v>
      </c>
      <c r="D30" s="41">
        <v>0</v>
      </c>
      <c r="E30" s="73">
        <f>F29</f>
        <v>46338</v>
      </c>
      <c r="F30" s="73">
        <f>E30</f>
        <v>46338</v>
      </c>
      <c r="G30" s="40"/>
      <c r="H30" s="40">
        <f t="shared" si="60"/>
        <v>1</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98"/>
      <c r="DO30" s="5"/>
      <c r="DP30" s="5"/>
      <c r="DQ30" s="5"/>
      <c r="DR30" s="5"/>
      <c r="DS30" s="5"/>
      <c r="DT30" s="5"/>
      <c r="DU30" s="5"/>
      <c r="DV30" s="5"/>
      <c r="DW30" s="5"/>
      <c r="DX30" s="5"/>
      <c r="DY30" s="5"/>
      <c r="DZ30" s="5"/>
      <c r="EA30" s="5"/>
      <c r="EB30" s="5"/>
      <c r="EC30" s="5"/>
      <c r="ED30" s="5"/>
      <c r="EE30" s="5"/>
      <c r="EF30" s="5"/>
      <c r="EG30" s="5"/>
      <c r="EH30" s="5"/>
    </row>
    <row r="31" spans="1:138" s="1" customFormat="1" ht="30" customHeight="1" thickBot="1" x14ac:dyDescent="0.35">
      <c r="A31" s="8"/>
      <c r="B31" s="23" t="s">
        <v>72</v>
      </c>
      <c r="C31" s="15" t="s">
        <v>55</v>
      </c>
      <c r="D31" s="41">
        <v>0</v>
      </c>
      <c r="E31" s="73">
        <f>F30+1</f>
        <v>46339</v>
      </c>
      <c r="F31" s="73">
        <f>E31+2</f>
        <v>46341</v>
      </c>
      <c r="G31" s="40"/>
      <c r="H31" s="40">
        <f t="shared" si="60"/>
        <v>3</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98"/>
      <c r="DO31" s="5"/>
      <c r="DP31" s="5"/>
      <c r="DQ31" s="5"/>
      <c r="DR31" s="5"/>
      <c r="DS31" s="5"/>
      <c r="DT31" s="5"/>
      <c r="DU31" s="5"/>
      <c r="DV31" s="5"/>
      <c r="DW31" s="5"/>
      <c r="DX31" s="5"/>
      <c r="DY31" s="5"/>
      <c r="DZ31" s="5"/>
      <c r="EA31" s="5"/>
      <c r="EB31" s="5"/>
      <c r="EC31" s="5"/>
      <c r="ED31" s="5"/>
      <c r="EE31" s="5"/>
      <c r="EF31" s="5"/>
      <c r="EG31" s="5"/>
      <c r="EH31" s="5"/>
    </row>
    <row r="32" spans="1:138" s="1" customFormat="1" ht="30" customHeight="1" thickBot="1" x14ac:dyDescent="0.35">
      <c r="A32" s="8"/>
      <c r="B32" s="23" t="s">
        <v>73</v>
      </c>
      <c r="C32" s="15" t="s">
        <v>55</v>
      </c>
      <c r="D32" s="41">
        <v>0</v>
      </c>
      <c r="E32" s="73">
        <f>F31+1</f>
        <v>46342</v>
      </c>
      <c r="F32" s="73">
        <f>E32</f>
        <v>46342</v>
      </c>
      <c r="G32" s="40"/>
      <c r="H32" s="40">
        <f t="shared" si="60"/>
        <v>1</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98"/>
      <c r="DO32" s="5"/>
      <c r="DP32" s="5"/>
      <c r="DQ32" s="5"/>
      <c r="DR32" s="5"/>
      <c r="DS32" s="5"/>
      <c r="DT32" s="5"/>
      <c r="DU32" s="5"/>
      <c r="DV32" s="5"/>
      <c r="DW32" s="5"/>
      <c r="DX32" s="5"/>
      <c r="DY32" s="5"/>
      <c r="DZ32" s="5"/>
      <c r="EA32" s="5"/>
      <c r="EB32" s="5"/>
      <c r="EC32" s="5"/>
      <c r="ED32" s="5"/>
      <c r="EE32" s="5"/>
      <c r="EF32" s="5"/>
      <c r="EG32" s="5"/>
      <c r="EH32" s="5"/>
    </row>
    <row r="33" spans="1:138" s="1" customFormat="1" ht="30" customHeight="1" thickBot="1" x14ac:dyDescent="0.35">
      <c r="A33" s="8"/>
      <c r="B33" s="23" t="s">
        <v>74</v>
      </c>
      <c r="C33" s="15" t="s">
        <v>55</v>
      </c>
      <c r="D33" s="41">
        <v>0</v>
      </c>
      <c r="E33" s="73">
        <f>F32+1</f>
        <v>46343</v>
      </c>
      <c r="F33" s="73">
        <f>E33+1</f>
        <v>46344</v>
      </c>
      <c r="G33" s="40"/>
      <c r="H33" s="40">
        <f t="shared" si="60"/>
        <v>2</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98"/>
      <c r="DO33" s="5"/>
      <c r="DP33" s="5"/>
      <c r="DQ33" s="5"/>
      <c r="DR33" s="5"/>
      <c r="DS33" s="5"/>
      <c r="DT33" s="5"/>
      <c r="DU33" s="5"/>
      <c r="DV33" s="5"/>
      <c r="DW33" s="5"/>
      <c r="DX33" s="5"/>
      <c r="DY33" s="5"/>
      <c r="DZ33" s="5"/>
      <c r="EA33" s="5"/>
      <c r="EB33" s="5"/>
      <c r="EC33" s="5"/>
      <c r="ED33" s="5"/>
      <c r="EE33" s="5"/>
      <c r="EF33" s="5"/>
      <c r="EG33" s="5"/>
      <c r="EH33" s="5"/>
    </row>
    <row r="34" spans="1:138" s="1" customFormat="1" ht="30" customHeight="1" thickBot="1" x14ac:dyDescent="0.35">
      <c r="A34" s="8"/>
      <c r="B34" s="23" t="s">
        <v>75</v>
      </c>
      <c r="C34" s="15" t="s">
        <v>55</v>
      </c>
      <c r="D34" s="41">
        <v>0</v>
      </c>
      <c r="E34" s="73">
        <f>F33</f>
        <v>46344</v>
      </c>
      <c r="F34" s="73">
        <f t="shared" ref="F34:F39" si="63">E34</f>
        <v>46344</v>
      </c>
      <c r="G34" s="40"/>
      <c r="H34" s="40">
        <f t="shared" si="60"/>
        <v>1</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98"/>
      <c r="DO34" s="5"/>
      <c r="DP34" s="5"/>
      <c r="DQ34" s="5"/>
      <c r="DR34" s="5"/>
      <c r="DS34" s="5"/>
      <c r="DT34" s="5"/>
      <c r="DU34" s="5"/>
      <c r="DV34" s="5"/>
      <c r="DW34" s="5"/>
      <c r="DX34" s="5"/>
      <c r="DY34" s="5"/>
      <c r="DZ34" s="5"/>
      <c r="EA34" s="5"/>
      <c r="EB34" s="5"/>
      <c r="EC34" s="5"/>
      <c r="ED34" s="5"/>
      <c r="EE34" s="5"/>
      <c r="EF34" s="5"/>
      <c r="EG34" s="5"/>
      <c r="EH34" s="5"/>
    </row>
    <row r="35" spans="1:138" s="1" customFormat="1" ht="30" customHeight="1" thickBot="1" x14ac:dyDescent="0.35">
      <c r="A35" s="8"/>
      <c r="B35" s="23" t="s">
        <v>76</v>
      </c>
      <c r="C35" s="15" t="s">
        <v>55</v>
      </c>
      <c r="D35" s="41">
        <v>0</v>
      </c>
      <c r="E35" s="73">
        <f>F34+1</f>
        <v>46345</v>
      </c>
      <c r="F35" s="73">
        <f t="shared" si="63"/>
        <v>46345</v>
      </c>
      <c r="G35" s="40"/>
      <c r="H35" s="40">
        <f t="shared" si="60"/>
        <v>1</v>
      </c>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98"/>
      <c r="DO35" s="5"/>
      <c r="DP35" s="5"/>
      <c r="DQ35" s="5"/>
      <c r="DR35" s="5"/>
      <c r="DS35" s="5"/>
      <c r="DT35" s="5"/>
      <c r="DU35" s="5"/>
      <c r="DV35" s="5"/>
      <c r="DW35" s="5"/>
      <c r="DX35" s="5"/>
      <c r="DY35" s="5"/>
      <c r="DZ35" s="5"/>
      <c r="EA35" s="5"/>
      <c r="EB35" s="5"/>
      <c r="EC35" s="5"/>
      <c r="ED35" s="5"/>
      <c r="EE35" s="5"/>
      <c r="EF35" s="5"/>
      <c r="EG35" s="5"/>
      <c r="EH35" s="5"/>
    </row>
    <row r="36" spans="1:138" s="1" customFormat="1" ht="30" customHeight="1" thickBot="1" x14ac:dyDescent="0.35">
      <c r="A36" s="8"/>
      <c r="B36" s="23" t="s">
        <v>77</v>
      </c>
      <c r="C36" s="15" t="s">
        <v>55</v>
      </c>
      <c r="D36" s="41">
        <v>0</v>
      </c>
      <c r="E36" s="73">
        <f>F35</f>
        <v>46345</v>
      </c>
      <c r="F36" s="73">
        <f t="shared" si="63"/>
        <v>46345</v>
      </c>
      <c r="G36" s="40"/>
      <c r="H36" s="40">
        <f t="shared" si="60"/>
        <v>1</v>
      </c>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98"/>
      <c r="DO36" s="5"/>
      <c r="DP36" s="5"/>
      <c r="DQ36" s="5"/>
      <c r="DR36" s="5"/>
      <c r="DS36" s="5"/>
      <c r="DT36" s="5"/>
      <c r="DU36" s="5"/>
      <c r="DV36" s="5"/>
      <c r="DW36" s="5"/>
      <c r="DX36" s="5"/>
      <c r="DY36" s="5"/>
      <c r="DZ36" s="5"/>
      <c r="EA36" s="5"/>
      <c r="EB36" s="5"/>
      <c r="EC36" s="5"/>
      <c r="ED36" s="5"/>
      <c r="EE36" s="5"/>
      <c r="EF36" s="5"/>
      <c r="EG36" s="5"/>
      <c r="EH36" s="5"/>
    </row>
    <row r="37" spans="1:138" s="1" customFormat="1" ht="30" customHeight="1" thickBot="1" x14ac:dyDescent="0.35">
      <c r="A37" s="8"/>
      <c r="B37" s="23" t="s">
        <v>78</v>
      </c>
      <c r="C37" s="15" t="s">
        <v>55</v>
      </c>
      <c r="D37" s="41">
        <v>0</v>
      </c>
      <c r="E37" s="73">
        <f>F36</f>
        <v>46345</v>
      </c>
      <c r="F37" s="73">
        <f t="shared" si="63"/>
        <v>46345</v>
      </c>
      <c r="G37" s="40"/>
      <c r="H37" s="40">
        <f t="shared" si="60"/>
        <v>1</v>
      </c>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98"/>
      <c r="DO37" s="5"/>
      <c r="DP37" s="5"/>
      <c r="DQ37" s="5"/>
      <c r="DR37" s="5"/>
      <c r="DS37" s="5"/>
      <c r="DT37" s="5"/>
      <c r="DU37" s="5"/>
      <c r="DV37" s="5"/>
      <c r="DW37" s="5"/>
      <c r="DX37" s="5"/>
      <c r="DY37" s="5"/>
      <c r="DZ37" s="5"/>
      <c r="EA37" s="5"/>
      <c r="EB37" s="5"/>
      <c r="EC37" s="5"/>
      <c r="ED37" s="5"/>
      <c r="EE37" s="5"/>
      <c r="EF37" s="5"/>
      <c r="EG37" s="5"/>
      <c r="EH37" s="5"/>
    </row>
    <row r="38" spans="1:138" s="1" customFormat="1" ht="30" customHeight="1" thickBot="1" x14ac:dyDescent="0.35">
      <c r="A38" s="8"/>
      <c r="B38" s="23" t="s">
        <v>79</v>
      </c>
      <c r="C38" s="15" t="s">
        <v>55</v>
      </c>
      <c r="D38" s="41">
        <v>0</v>
      </c>
      <c r="E38" s="73">
        <f t="shared" si="62"/>
        <v>46346</v>
      </c>
      <c r="F38" s="73">
        <f t="shared" si="63"/>
        <v>46346</v>
      </c>
      <c r="G38" s="40"/>
      <c r="H38" s="40">
        <f t="shared" si="60"/>
        <v>1</v>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98"/>
      <c r="DO38" s="5"/>
      <c r="DP38" s="5"/>
      <c r="DQ38" s="5"/>
      <c r="DR38" s="5"/>
      <c r="DS38" s="5"/>
      <c r="DT38" s="5"/>
      <c r="DU38" s="5"/>
      <c r="DV38" s="5"/>
      <c r="DW38" s="5"/>
      <c r="DX38" s="5"/>
      <c r="DY38" s="5"/>
      <c r="DZ38" s="5"/>
      <c r="EA38" s="5"/>
      <c r="EB38" s="5"/>
      <c r="EC38" s="5"/>
      <c r="ED38" s="5"/>
      <c r="EE38" s="5"/>
      <c r="EF38" s="5"/>
      <c r="EG38" s="5"/>
      <c r="EH38" s="5"/>
    </row>
    <row r="39" spans="1:138" s="1" customFormat="1" ht="30" customHeight="1" thickBot="1" x14ac:dyDescent="0.35">
      <c r="A39" s="8"/>
      <c r="B39" s="23" t="s">
        <v>80</v>
      </c>
      <c r="C39" s="15" t="s">
        <v>55</v>
      </c>
      <c r="D39" s="41">
        <v>0</v>
      </c>
      <c r="E39" s="73">
        <f>F38</f>
        <v>46346</v>
      </c>
      <c r="F39" s="73">
        <f t="shared" si="63"/>
        <v>46346</v>
      </c>
      <c r="G39" s="40"/>
      <c r="H39" s="40">
        <f t="shared" si="60"/>
        <v>1</v>
      </c>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98"/>
      <c r="DO39" s="5"/>
      <c r="DP39" s="5"/>
      <c r="DQ39" s="5"/>
      <c r="DR39" s="5"/>
      <c r="DS39" s="5"/>
      <c r="DT39" s="5"/>
      <c r="DU39" s="5"/>
      <c r="DV39" s="5"/>
      <c r="DW39" s="5"/>
      <c r="DX39" s="5"/>
      <c r="DY39" s="5"/>
      <c r="DZ39" s="5"/>
      <c r="EA39" s="5"/>
      <c r="EB39" s="5"/>
      <c r="EC39" s="5"/>
      <c r="ED39" s="5"/>
      <c r="EE39" s="5"/>
      <c r="EF39" s="5"/>
      <c r="EG39" s="5"/>
      <c r="EH39" s="5"/>
    </row>
    <row r="40" spans="1:138" s="1" customFormat="1" ht="30" customHeight="1" thickBot="1" x14ac:dyDescent="0.35">
      <c r="A40" s="8"/>
      <c r="B40" s="23" t="s">
        <v>81</v>
      </c>
      <c r="C40" s="15" t="s">
        <v>55</v>
      </c>
      <c r="D40" s="41">
        <v>0</v>
      </c>
      <c r="E40" s="73">
        <f>F39</f>
        <v>46346</v>
      </c>
      <c r="F40" s="73">
        <f>E40+2</f>
        <v>46348</v>
      </c>
      <c r="G40" s="40"/>
      <c r="H40" s="40">
        <f t="shared" si="60"/>
        <v>3</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98"/>
      <c r="DO40" s="5"/>
      <c r="DP40" s="5"/>
      <c r="DQ40" s="5"/>
      <c r="DR40" s="5"/>
      <c r="DS40" s="5"/>
      <c r="DT40" s="5"/>
      <c r="DU40" s="5"/>
      <c r="DV40" s="5"/>
      <c r="DW40" s="5"/>
      <c r="DX40" s="5"/>
      <c r="DY40" s="5"/>
      <c r="DZ40" s="5"/>
      <c r="EA40" s="5"/>
      <c r="EB40" s="5"/>
      <c r="EC40" s="5"/>
      <c r="ED40" s="5"/>
      <c r="EE40" s="5"/>
      <c r="EF40" s="5"/>
      <c r="EG40" s="5"/>
      <c r="EH40" s="5"/>
    </row>
    <row r="41" spans="1:138" s="1" customFormat="1" ht="30" customHeight="1" thickBot="1" x14ac:dyDescent="0.35">
      <c r="A41" s="8"/>
      <c r="B41" s="23" t="s">
        <v>82</v>
      </c>
      <c r="C41" s="15" t="s">
        <v>55</v>
      </c>
      <c r="D41" s="41">
        <v>0</v>
      </c>
      <c r="E41" s="73">
        <f>F40</f>
        <v>46348</v>
      </c>
      <c r="F41" s="73">
        <f>E41+1</f>
        <v>46349</v>
      </c>
      <c r="G41" s="40"/>
      <c r="H41" s="40">
        <f t="shared" si="60"/>
        <v>2</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98"/>
      <c r="DO41" s="5"/>
      <c r="DP41" s="5"/>
      <c r="DQ41" s="5"/>
      <c r="DR41" s="5"/>
      <c r="DS41" s="5"/>
      <c r="DT41" s="5"/>
      <c r="DU41" s="5"/>
      <c r="DV41" s="5"/>
      <c r="DW41" s="5"/>
      <c r="DX41" s="5"/>
      <c r="DY41" s="5"/>
      <c r="DZ41" s="5"/>
      <c r="EA41" s="5"/>
      <c r="EB41" s="5"/>
      <c r="EC41" s="5"/>
      <c r="ED41" s="5"/>
      <c r="EE41" s="5"/>
      <c r="EF41" s="5"/>
      <c r="EG41" s="5"/>
      <c r="EH41" s="5"/>
    </row>
    <row r="42" spans="1:138" s="1" customFormat="1" ht="30" customHeight="1" thickBot="1" x14ac:dyDescent="0.35">
      <c r="A42" s="8"/>
      <c r="B42" s="23" t="s">
        <v>83</v>
      </c>
      <c r="C42" s="15" t="s">
        <v>55</v>
      </c>
      <c r="D42" s="41">
        <v>0</v>
      </c>
      <c r="E42" s="73">
        <f t="shared" si="62"/>
        <v>46350</v>
      </c>
      <c r="F42" s="73">
        <f>E42</f>
        <v>46350</v>
      </c>
      <c r="G42" s="40"/>
      <c r="H42" s="40">
        <f t="shared" si="60"/>
        <v>1</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98"/>
      <c r="DO42" s="5"/>
      <c r="DP42" s="5"/>
      <c r="DQ42" s="5"/>
      <c r="DR42" s="5"/>
      <c r="DS42" s="5"/>
      <c r="DT42" s="5"/>
      <c r="DU42" s="5"/>
      <c r="DV42" s="5"/>
      <c r="DW42" s="5"/>
      <c r="DX42" s="5"/>
      <c r="DY42" s="5"/>
      <c r="DZ42" s="5"/>
      <c r="EA42" s="5"/>
      <c r="EB42" s="5"/>
      <c r="EC42" s="5"/>
      <c r="ED42" s="5"/>
      <c r="EE42" s="5"/>
      <c r="EF42" s="5"/>
      <c r="EG42" s="5"/>
      <c r="EH42" s="5"/>
    </row>
    <row r="43" spans="1:138" s="1" customFormat="1" ht="30" customHeight="1" thickBot="1" x14ac:dyDescent="0.35">
      <c r="A43" s="8"/>
      <c r="B43" s="23" t="s">
        <v>84</v>
      </c>
      <c r="C43" s="15" t="s">
        <v>55</v>
      </c>
      <c r="D43" s="41">
        <v>0</v>
      </c>
      <c r="E43" s="73">
        <f t="shared" si="62"/>
        <v>46351</v>
      </c>
      <c r="F43" s="73">
        <f>E43</f>
        <v>46351</v>
      </c>
      <c r="G43" s="40"/>
      <c r="H43" s="40">
        <f t="shared" si="60"/>
        <v>1</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98"/>
      <c r="DO43" s="5"/>
      <c r="DP43" s="5"/>
      <c r="DQ43" s="5"/>
      <c r="DR43" s="5"/>
      <c r="DS43" s="5"/>
      <c r="DT43" s="5"/>
      <c r="DU43" s="5"/>
      <c r="DV43" s="5"/>
      <c r="DW43" s="5"/>
      <c r="DX43" s="5"/>
      <c r="DY43" s="5"/>
      <c r="DZ43" s="5"/>
      <c r="EA43" s="5"/>
      <c r="EB43" s="5"/>
      <c r="EC43" s="5"/>
      <c r="ED43" s="5"/>
      <c r="EE43" s="5"/>
      <c r="EF43" s="5"/>
      <c r="EG43" s="5"/>
      <c r="EH43" s="5"/>
    </row>
    <row r="44" spans="1:138" s="1" customFormat="1" ht="30" customHeight="1" thickBot="1" x14ac:dyDescent="0.35">
      <c r="A44" s="8"/>
      <c r="B44" s="23" t="s">
        <v>85</v>
      </c>
      <c r="C44" s="15" t="s">
        <v>55</v>
      </c>
      <c r="D44" s="41">
        <v>0</v>
      </c>
      <c r="E44" s="73">
        <f>F43+1</f>
        <v>46352</v>
      </c>
      <c r="F44" s="73">
        <f>E44</f>
        <v>46352</v>
      </c>
      <c r="G44" s="40"/>
      <c r="H44" s="40">
        <f t="shared" si="60"/>
        <v>1</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98"/>
      <c r="DO44" s="5"/>
      <c r="DP44" s="5"/>
      <c r="DQ44" s="5"/>
      <c r="DR44" s="5"/>
      <c r="DS44" s="5"/>
      <c r="DT44" s="5"/>
      <c r="DU44" s="5"/>
      <c r="DV44" s="5"/>
      <c r="DW44" s="5"/>
      <c r="DX44" s="5"/>
      <c r="DY44" s="5"/>
      <c r="DZ44" s="5"/>
      <c r="EA44" s="5"/>
      <c r="EB44" s="5"/>
      <c r="EC44" s="5"/>
      <c r="ED44" s="5"/>
      <c r="EE44" s="5"/>
      <c r="EF44" s="5"/>
      <c r="EG44" s="5"/>
      <c r="EH44" s="5"/>
    </row>
    <row r="45" spans="1:138" s="1" customFormat="1" ht="30" customHeight="1" thickBot="1" x14ac:dyDescent="0.35">
      <c r="A45" s="8"/>
      <c r="B45" s="23" t="s">
        <v>86</v>
      </c>
      <c r="C45" s="15" t="s">
        <v>55</v>
      </c>
      <c r="D45" s="41">
        <v>0</v>
      </c>
      <c r="E45" s="73">
        <f>F44</f>
        <v>46352</v>
      </c>
      <c r="F45" s="73">
        <f>E45+1</f>
        <v>46353</v>
      </c>
      <c r="G45" s="40"/>
      <c r="H45" s="40">
        <f t="shared" si="60"/>
        <v>2</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98"/>
      <c r="DO45" s="5"/>
      <c r="DP45" s="5"/>
      <c r="DQ45" s="5"/>
      <c r="DR45" s="5"/>
      <c r="DS45" s="5"/>
      <c r="DT45" s="5"/>
      <c r="DU45" s="5"/>
      <c r="DV45" s="5"/>
      <c r="DW45" s="5"/>
      <c r="DX45" s="5"/>
      <c r="DY45" s="5"/>
      <c r="DZ45" s="5"/>
      <c r="EA45" s="5"/>
      <c r="EB45" s="5"/>
      <c r="EC45" s="5"/>
      <c r="ED45" s="5"/>
      <c r="EE45" s="5"/>
      <c r="EF45" s="5"/>
      <c r="EG45" s="5"/>
      <c r="EH45" s="5"/>
    </row>
    <row r="46" spans="1:138" s="1" customFormat="1" ht="30" customHeight="1" thickBot="1" x14ac:dyDescent="0.35">
      <c r="A46" s="8"/>
      <c r="B46" s="23" t="s">
        <v>87</v>
      </c>
      <c r="C46" s="15" t="s">
        <v>55</v>
      </c>
      <c r="D46" s="41">
        <v>0</v>
      </c>
      <c r="E46" s="73">
        <f>F45+1</f>
        <v>46354</v>
      </c>
      <c r="F46" s="73">
        <f>E46+1</f>
        <v>46355</v>
      </c>
      <c r="G46" s="40"/>
      <c r="H46" s="40">
        <f t="shared" si="60"/>
        <v>2</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98"/>
      <c r="DO46" s="5"/>
      <c r="DP46" s="5"/>
      <c r="DQ46" s="5"/>
      <c r="DR46" s="5"/>
      <c r="DS46" s="5"/>
      <c r="DT46" s="5"/>
      <c r="DU46" s="5"/>
      <c r="DV46" s="5"/>
      <c r="DW46" s="5"/>
      <c r="DX46" s="5"/>
      <c r="DY46" s="5"/>
      <c r="DZ46" s="5"/>
      <c r="EA46" s="5"/>
      <c r="EB46" s="5"/>
      <c r="EC46" s="5"/>
      <c r="ED46" s="5"/>
      <c r="EE46" s="5"/>
      <c r="EF46" s="5"/>
      <c r="EG46" s="5"/>
      <c r="EH46" s="5"/>
    </row>
    <row r="47" spans="1:138" s="1" customFormat="1" ht="30" customHeight="1" thickBot="1" x14ac:dyDescent="0.35">
      <c r="A47" s="8"/>
      <c r="B47" s="23" t="s">
        <v>88</v>
      </c>
      <c r="C47" s="15" t="s">
        <v>55</v>
      </c>
      <c r="D47" s="41">
        <v>0</v>
      </c>
      <c r="E47" s="73">
        <f>F46</f>
        <v>46355</v>
      </c>
      <c r="F47" s="73">
        <f>E47+1</f>
        <v>46356</v>
      </c>
      <c r="G47" s="40"/>
      <c r="H47" s="40">
        <f t="shared" si="60"/>
        <v>2</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98"/>
      <c r="DO47" s="5"/>
      <c r="DP47" s="5"/>
      <c r="DQ47" s="5"/>
      <c r="DR47" s="5"/>
      <c r="DS47" s="5"/>
      <c r="DT47" s="5"/>
      <c r="DU47" s="5"/>
      <c r="DV47" s="5"/>
      <c r="DW47" s="5"/>
      <c r="DX47" s="5"/>
      <c r="DY47" s="5"/>
      <c r="DZ47" s="5"/>
      <c r="EA47" s="5"/>
      <c r="EB47" s="5"/>
      <c r="EC47" s="5"/>
      <c r="ED47" s="5"/>
      <c r="EE47" s="5"/>
      <c r="EF47" s="5"/>
      <c r="EG47" s="5"/>
      <c r="EH47" s="5"/>
    </row>
    <row r="48" spans="1:138" s="1" customFormat="1" ht="30" customHeight="1" thickBot="1" x14ac:dyDescent="0.35">
      <c r="A48" s="8"/>
      <c r="B48" s="23" t="s">
        <v>89</v>
      </c>
      <c r="C48" s="15" t="s">
        <v>55</v>
      </c>
      <c r="D48" s="41">
        <v>0</v>
      </c>
      <c r="E48" s="73">
        <f>F47+1</f>
        <v>46357</v>
      </c>
      <c r="F48" s="73">
        <f>E48+1</f>
        <v>46358</v>
      </c>
      <c r="G48" s="40"/>
      <c r="H48" s="40">
        <f t="shared" si="60"/>
        <v>2</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98"/>
      <c r="DO48" s="5"/>
      <c r="DP48" s="5"/>
      <c r="DQ48" s="5"/>
      <c r="DR48" s="5"/>
      <c r="DS48" s="5"/>
      <c r="DT48" s="5"/>
      <c r="DU48" s="5"/>
      <c r="DV48" s="5"/>
      <c r="DW48" s="5"/>
      <c r="DX48" s="5"/>
      <c r="DY48" s="5"/>
      <c r="DZ48" s="5"/>
      <c r="EA48" s="5"/>
      <c r="EB48" s="5"/>
      <c r="EC48" s="5"/>
      <c r="ED48" s="5"/>
      <c r="EE48" s="5"/>
      <c r="EF48" s="5"/>
      <c r="EG48" s="5"/>
      <c r="EH48" s="5"/>
    </row>
    <row r="49" spans="1:138" s="1" customFormat="1" ht="30" customHeight="1" thickBot="1" x14ac:dyDescent="0.35">
      <c r="A49" s="8"/>
      <c r="B49" s="23" t="s">
        <v>90</v>
      </c>
      <c r="C49" s="15" t="s">
        <v>55</v>
      </c>
      <c r="D49" s="41">
        <v>0</v>
      </c>
      <c r="E49" s="73">
        <f>F48+1</f>
        <v>46359</v>
      </c>
      <c r="F49" s="73">
        <f>E49</f>
        <v>46359</v>
      </c>
      <c r="G49" s="40"/>
      <c r="H49" s="40">
        <f t="shared" si="60"/>
        <v>1</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98"/>
      <c r="DO49" s="5"/>
      <c r="DP49" s="5"/>
      <c r="DQ49" s="5"/>
      <c r="DR49" s="5"/>
      <c r="DS49" s="5"/>
      <c r="DT49" s="5"/>
      <c r="DU49" s="5"/>
      <c r="DV49" s="5"/>
      <c r="DW49" s="5"/>
      <c r="DX49" s="5"/>
      <c r="DY49" s="5"/>
      <c r="DZ49" s="5"/>
      <c r="EA49" s="5"/>
      <c r="EB49" s="5"/>
      <c r="EC49" s="5"/>
      <c r="ED49" s="5"/>
      <c r="EE49" s="5"/>
      <c r="EF49" s="5"/>
      <c r="EG49" s="5"/>
      <c r="EH49" s="5"/>
    </row>
    <row r="50" spans="1:138" s="1" customFormat="1" ht="30" customHeight="1" thickBot="1" x14ac:dyDescent="0.35">
      <c r="A50" s="8"/>
      <c r="B50" s="23" t="s">
        <v>91</v>
      </c>
      <c r="C50" s="15" t="s">
        <v>55</v>
      </c>
      <c r="D50" s="41">
        <v>0</v>
      </c>
      <c r="E50" s="73">
        <f t="shared" si="62"/>
        <v>46360</v>
      </c>
      <c r="F50" s="73">
        <f>E50</f>
        <v>46360</v>
      </c>
      <c r="G50" s="40"/>
      <c r="H50" s="40">
        <f t="shared" si="60"/>
        <v>1</v>
      </c>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98"/>
      <c r="DO50" s="5"/>
      <c r="DP50" s="5"/>
      <c r="DQ50" s="5"/>
      <c r="DR50" s="5"/>
      <c r="DS50" s="5"/>
      <c r="DT50" s="5"/>
      <c r="DU50" s="5"/>
      <c r="DV50" s="5"/>
      <c r="DW50" s="5"/>
      <c r="DX50" s="5"/>
      <c r="DY50" s="5"/>
      <c r="DZ50" s="5"/>
      <c r="EA50" s="5"/>
      <c r="EB50" s="5"/>
      <c r="EC50" s="5"/>
      <c r="ED50" s="5"/>
      <c r="EE50" s="5"/>
      <c r="EF50" s="5"/>
      <c r="EG50" s="5"/>
      <c r="EH50" s="5"/>
    </row>
    <row r="51" spans="1:138" s="1" customFormat="1" ht="30" customHeight="1" thickBot="1" x14ac:dyDescent="0.35">
      <c r="A51" s="8"/>
      <c r="B51" s="23" t="s">
        <v>92</v>
      </c>
      <c r="C51" s="15" t="s">
        <v>55</v>
      </c>
      <c r="D51" s="41">
        <v>0</v>
      </c>
      <c r="E51" s="73">
        <f>F50</f>
        <v>46360</v>
      </c>
      <c r="F51" s="73">
        <f>E51+1</f>
        <v>46361</v>
      </c>
      <c r="G51" s="40"/>
      <c r="H51" s="40">
        <f t="shared" si="60"/>
        <v>2</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98"/>
      <c r="DO51" s="5"/>
      <c r="DP51" s="5"/>
      <c r="DQ51" s="5"/>
      <c r="DR51" s="5"/>
      <c r="DS51" s="5"/>
      <c r="DT51" s="5"/>
      <c r="DU51" s="5"/>
      <c r="DV51" s="5"/>
      <c r="DW51" s="5"/>
      <c r="DX51" s="5"/>
      <c r="DY51" s="5"/>
      <c r="DZ51" s="5"/>
      <c r="EA51" s="5"/>
      <c r="EB51" s="5"/>
      <c r="EC51" s="5"/>
      <c r="ED51" s="5"/>
      <c r="EE51" s="5"/>
      <c r="EF51" s="5"/>
      <c r="EG51" s="5"/>
      <c r="EH51" s="5"/>
    </row>
    <row r="52" spans="1:138" s="1" customFormat="1" ht="30" customHeight="1" thickBot="1" x14ac:dyDescent="0.35">
      <c r="A52" s="8"/>
      <c r="B52" s="23" t="s">
        <v>93</v>
      </c>
      <c r="C52" s="15" t="s">
        <v>55</v>
      </c>
      <c r="D52" s="41">
        <v>0</v>
      </c>
      <c r="E52" s="73">
        <f>F51</f>
        <v>46361</v>
      </c>
      <c r="F52" s="73">
        <f>E52</f>
        <v>46361</v>
      </c>
      <c r="G52" s="40"/>
      <c r="H52" s="40">
        <f t="shared" si="60"/>
        <v>1</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98"/>
      <c r="DO52" s="5"/>
      <c r="DP52" s="5"/>
      <c r="DQ52" s="5"/>
      <c r="DR52" s="5"/>
      <c r="DS52" s="5"/>
      <c r="DT52" s="5"/>
      <c r="DU52" s="5"/>
      <c r="DV52" s="5"/>
      <c r="DW52" s="5"/>
      <c r="DX52" s="5"/>
      <c r="DY52" s="5"/>
      <c r="DZ52" s="5"/>
      <c r="EA52" s="5"/>
      <c r="EB52" s="5"/>
      <c r="EC52" s="5"/>
      <c r="ED52" s="5"/>
      <c r="EE52" s="5"/>
      <c r="EF52" s="5"/>
      <c r="EG52" s="5"/>
      <c r="EH52" s="5"/>
    </row>
    <row r="53" spans="1:138" s="1" customFormat="1" ht="30" customHeight="1" thickBot="1" x14ac:dyDescent="0.35">
      <c r="A53" s="8"/>
      <c r="B53" s="23" t="s">
        <v>94</v>
      </c>
      <c r="C53" s="15" t="s">
        <v>55</v>
      </c>
      <c r="D53" s="41">
        <v>0</v>
      </c>
      <c r="E53" s="73">
        <f t="shared" si="62"/>
        <v>46362</v>
      </c>
      <c r="F53" s="73">
        <f>E53+1</f>
        <v>46363</v>
      </c>
      <c r="G53" s="40"/>
      <c r="H53" s="40">
        <f t="shared" si="60"/>
        <v>2</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98"/>
      <c r="DO53" s="5"/>
      <c r="DP53" s="5"/>
      <c r="DQ53" s="5"/>
      <c r="DR53" s="5"/>
      <c r="DS53" s="5"/>
      <c r="DT53" s="5"/>
      <c r="DU53" s="5"/>
      <c r="DV53" s="5"/>
      <c r="DW53" s="5"/>
      <c r="DX53" s="5"/>
      <c r="DY53" s="5"/>
      <c r="DZ53" s="5"/>
      <c r="EA53" s="5"/>
      <c r="EB53" s="5"/>
      <c r="EC53" s="5"/>
      <c r="ED53" s="5"/>
      <c r="EE53" s="5"/>
      <c r="EF53" s="5"/>
      <c r="EG53" s="5"/>
      <c r="EH53" s="5"/>
    </row>
    <row r="54" spans="1:138" s="1" customFormat="1" ht="30" customHeight="1" thickBot="1" x14ac:dyDescent="0.35">
      <c r="A54" s="8"/>
      <c r="B54" s="23" t="s">
        <v>95</v>
      </c>
      <c r="C54" s="15" t="s">
        <v>55</v>
      </c>
      <c r="D54" s="41">
        <v>0</v>
      </c>
      <c r="E54" s="73">
        <f>F53+1</f>
        <v>46364</v>
      </c>
      <c r="F54" s="73">
        <f>E54</f>
        <v>46364</v>
      </c>
      <c r="G54" s="40"/>
      <c r="H54" s="40">
        <f t="shared" si="60"/>
        <v>1</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98"/>
      <c r="DO54" s="5"/>
      <c r="DP54" s="5"/>
      <c r="DQ54" s="5"/>
      <c r="DR54" s="5"/>
      <c r="DS54" s="5"/>
      <c r="DT54" s="5"/>
      <c r="DU54" s="5"/>
      <c r="DV54" s="5"/>
      <c r="DW54" s="5"/>
      <c r="DX54" s="5"/>
      <c r="DY54" s="5"/>
      <c r="DZ54" s="5"/>
      <c r="EA54" s="5"/>
      <c r="EB54" s="5"/>
      <c r="EC54" s="5"/>
      <c r="ED54" s="5"/>
      <c r="EE54" s="5"/>
      <c r="EF54" s="5"/>
      <c r="EG54" s="5"/>
      <c r="EH54" s="5"/>
    </row>
    <row r="55" spans="1:138" s="1" customFormat="1" ht="30" customHeight="1" thickBot="1" x14ac:dyDescent="0.35">
      <c r="A55" s="8"/>
      <c r="B55" s="23" t="s">
        <v>96</v>
      </c>
      <c r="C55" s="15" t="s">
        <v>55</v>
      </c>
      <c r="D55" s="41">
        <v>0</v>
      </c>
      <c r="E55" s="73">
        <f>F54</f>
        <v>46364</v>
      </c>
      <c r="F55" s="73">
        <f>E55</f>
        <v>46364</v>
      </c>
      <c r="G55" s="40"/>
      <c r="H55" s="40">
        <f t="shared" si="60"/>
        <v>1</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98"/>
      <c r="DO55" s="5"/>
      <c r="DP55" s="5"/>
      <c r="DQ55" s="5"/>
      <c r="DR55" s="5"/>
      <c r="DS55" s="5"/>
      <c r="DT55" s="5"/>
      <c r="DU55" s="5"/>
      <c r="DV55" s="5"/>
      <c r="DW55" s="5"/>
      <c r="DX55" s="5"/>
      <c r="DY55" s="5"/>
      <c r="DZ55" s="5"/>
      <c r="EA55" s="5"/>
      <c r="EB55" s="5"/>
      <c r="EC55" s="5"/>
      <c r="ED55" s="5"/>
      <c r="EE55" s="5"/>
      <c r="EF55" s="5"/>
      <c r="EG55" s="5"/>
      <c r="EH55" s="5"/>
    </row>
    <row r="56" spans="1:138" s="1" customFormat="1" ht="30" customHeight="1" thickBot="1" x14ac:dyDescent="0.35">
      <c r="A56" s="8"/>
      <c r="B56" s="23" t="s">
        <v>136</v>
      </c>
      <c r="C56" s="15" t="s">
        <v>55</v>
      </c>
      <c r="D56" s="41">
        <v>0</v>
      </c>
      <c r="E56" s="73">
        <f t="shared" si="62"/>
        <v>46365</v>
      </c>
      <c r="F56" s="73">
        <f>E56</f>
        <v>46365</v>
      </c>
      <c r="G56" s="40"/>
      <c r="H56" s="40">
        <f t="shared" si="60"/>
        <v>1</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98"/>
      <c r="DO56" s="5"/>
      <c r="DP56" s="5"/>
      <c r="DQ56" s="5"/>
      <c r="DR56" s="5"/>
      <c r="DS56" s="5"/>
      <c r="DT56" s="5"/>
      <c r="DU56" s="5"/>
      <c r="DV56" s="5"/>
      <c r="DW56" s="5"/>
      <c r="DX56" s="5"/>
      <c r="DY56" s="5"/>
      <c r="DZ56" s="5"/>
      <c r="EA56" s="5"/>
      <c r="EB56" s="5"/>
      <c r="EC56" s="5"/>
      <c r="ED56" s="5"/>
      <c r="EE56" s="5"/>
      <c r="EF56" s="5"/>
      <c r="EG56" s="5"/>
      <c r="EH56" s="5"/>
    </row>
    <row r="57" spans="1:138" s="1" customFormat="1" ht="30" customHeight="1" thickBot="1" x14ac:dyDescent="0.35">
      <c r="A57" s="8"/>
      <c r="B57" s="23" t="s">
        <v>97</v>
      </c>
      <c r="C57" s="15" t="s">
        <v>55</v>
      </c>
      <c r="D57" s="41">
        <v>0</v>
      </c>
      <c r="E57" s="73">
        <f>F56+1</f>
        <v>46366</v>
      </c>
      <c r="F57" s="73">
        <f>E57</f>
        <v>46366</v>
      </c>
      <c r="G57" s="40"/>
      <c r="H57" s="40">
        <f t="shared" si="60"/>
        <v>1</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98"/>
      <c r="DO57" s="5"/>
      <c r="DP57" s="5"/>
      <c r="DQ57" s="5"/>
      <c r="DR57" s="5"/>
      <c r="DS57" s="5"/>
      <c r="DT57" s="5"/>
      <c r="DU57" s="5"/>
      <c r="DV57" s="5"/>
      <c r="DW57" s="5"/>
      <c r="DX57" s="5"/>
      <c r="DY57" s="5"/>
      <c r="DZ57" s="5"/>
      <c r="EA57" s="5"/>
      <c r="EB57" s="5"/>
      <c r="EC57" s="5"/>
      <c r="ED57" s="5"/>
      <c r="EE57" s="5"/>
      <c r="EF57" s="5"/>
      <c r="EG57" s="5"/>
      <c r="EH57" s="5"/>
    </row>
    <row r="58" spans="1:138" s="1" customFormat="1" ht="30" customHeight="1" thickBot="1" x14ac:dyDescent="0.35">
      <c r="A58" s="8"/>
      <c r="B58" s="23" t="s">
        <v>98</v>
      </c>
      <c r="C58" s="15" t="s">
        <v>55</v>
      </c>
      <c r="D58" s="41">
        <v>0</v>
      </c>
      <c r="E58" s="73">
        <f>F57+1</f>
        <v>46367</v>
      </c>
      <c r="F58" s="73">
        <f>E58+1</f>
        <v>46368</v>
      </c>
      <c r="G58" s="40"/>
      <c r="H58" s="40">
        <f t="shared" si="60"/>
        <v>2</v>
      </c>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98"/>
      <c r="DO58" s="5"/>
      <c r="DP58" s="5"/>
      <c r="DQ58" s="5"/>
      <c r="DR58" s="5"/>
      <c r="DS58" s="5"/>
      <c r="DT58" s="5"/>
      <c r="DU58" s="5"/>
      <c r="DV58" s="5"/>
      <c r="DW58" s="5"/>
      <c r="DX58" s="5"/>
      <c r="DY58" s="5"/>
      <c r="DZ58" s="5"/>
      <c r="EA58" s="5"/>
      <c r="EB58" s="5"/>
      <c r="EC58" s="5"/>
      <c r="ED58" s="5"/>
      <c r="EE58" s="5"/>
      <c r="EF58" s="5"/>
      <c r="EG58" s="5"/>
      <c r="EH58" s="5"/>
    </row>
    <row r="59" spans="1:138" s="1" customFormat="1" ht="30" customHeight="1" thickBot="1" x14ac:dyDescent="0.35">
      <c r="A59" s="8"/>
      <c r="B59" s="23" t="s">
        <v>99</v>
      </c>
      <c r="C59" s="15" t="s">
        <v>55</v>
      </c>
      <c r="D59" s="41">
        <v>0</v>
      </c>
      <c r="E59" s="73">
        <f>F58+1</f>
        <v>46369</v>
      </c>
      <c r="F59" s="73">
        <f>E59+1</f>
        <v>46370</v>
      </c>
      <c r="G59" s="40"/>
      <c r="H59" s="40">
        <f t="shared" si="60"/>
        <v>2</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98"/>
      <c r="DO59" s="5"/>
      <c r="DP59" s="5"/>
      <c r="DQ59" s="5"/>
      <c r="DR59" s="5"/>
      <c r="DS59" s="5"/>
      <c r="DT59" s="5"/>
      <c r="DU59" s="5"/>
      <c r="DV59" s="5"/>
      <c r="DW59" s="5"/>
      <c r="DX59" s="5"/>
      <c r="DY59" s="5"/>
      <c r="DZ59" s="5"/>
      <c r="EA59" s="5"/>
      <c r="EB59" s="5"/>
      <c r="EC59" s="5"/>
      <c r="ED59" s="5"/>
      <c r="EE59" s="5"/>
      <c r="EF59" s="5"/>
      <c r="EG59" s="5"/>
      <c r="EH59" s="5"/>
    </row>
    <row r="60" spans="1:138" s="1" customFormat="1" ht="30" customHeight="1" thickBot="1" x14ac:dyDescent="0.35">
      <c r="A60" s="8"/>
      <c r="B60" s="23" t="s">
        <v>100</v>
      </c>
      <c r="C60" s="15" t="s">
        <v>55</v>
      </c>
      <c r="D60" s="41">
        <v>0</v>
      </c>
      <c r="E60" s="73">
        <f t="shared" si="62"/>
        <v>46371</v>
      </c>
      <c r="F60" s="73">
        <f>E60+1</f>
        <v>46372</v>
      </c>
      <c r="G60" s="40"/>
      <c r="H60" s="40">
        <f t="shared" si="60"/>
        <v>2</v>
      </c>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98"/>
      <c r="DO60" s="5"/>
      <c r="DP60" s="5"/>
      <c r="DQ60" s="5"/>
      <c r="DR60" s="5"/>
      <c r="DS60" s="5"/>
      <c r="DT60" s="5"/>
      <c r="DU60" s="5"/>
      <c r="DV60" s="5"/>
      <c r="DW60" s="5"/>
      <c r="DX60" s="5"/>
      <c r="DY60" s="5"/>
      <c r="DZ60" s="5"/>
      <c r="EA60" s="5"/>
      <c r="EB60" s="5"/>
      <c r="EC60" s="5"/>
      <c r="ED60" s="5"/>
      <c r="EE60" s="5"/>
      <c r="EF60" s="5"/>
      <c r="EG60" s="5"/>
      <c r="EH60" s="5"/>
    </row>
    <row r="61" spans="1:138" s="1" customFormat="1" ht="30" customHeight="1" thickBot="1" x14ac:dyDescent="0.35">
      <c r="A61" s="8"/>
      <c r="B61" s="23" t="s">
        <v>101</v>
      </c>
      <c r="C61" s="15" t="s">
        <v>55</v>
      </c>
      <c r="D61" s="41">
        <v>0</v>
      </c>
      <c r="E61" s="73">
        <f>F60</f>
        <v>46372</v>
      </c>
      <c r="F61" s="73">
        <f>E61</f>
        <v>46372</v>
      </c>
      <c r="G61" s="40"/>
      <c r="H61" s="40">
        <f t="shared" si="60"/>
        <v>1</v>
      </c>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98"/>
      <c r="DO61" s="5"/>
      <c r="DP61" s="5"/>
      <c r="DQ61" s="5"/>
      <c r="DR61" s="5"/>
      <c r="DS61" s="5"/>
      <c r="DT61" s="5"/>
      <c r="DU61" s="5"/>
      <c r="DV61" s="5"/>
      <c r="DW61" s="5"/>
      <c r="DX61" s="5"/>
      <c r="DY61" s="5"/>
      <c r="DZ61" s="5"/>
      <c r="EA61" s="5"/>
      <c r="EB61" s="5"/>
      <c r="EC61" s="5"/>
      <c r="ED61" s="5"/>
      <c r="EE61" s="5"/>
      <c r="EF61" s="5"/>
      <c r="EG61" s="5"/>
      <c r="EH61" s="5"/>
    </row>
    <row r="62" spans="1:138" s="1" customFormat="1" ht="30" customHeight="1" thickBot="1" x14ac:dyDescent="0.35">
      <c r="A62" s="8"/>
      <c r="B62" s="23" t="s">
        <v>102</v>
      </c>
      <c r="C62" s="15" t="s">
        <v>55</v>
      </c>
      <c r="D62" s="41">
        <v>0</v>
      </c>
      <c r="E62" s="73">
        <f>F61+1</f>
        <v>46373</v>
      </c>
      <c r="F62" s="73">
        <f>E62+2</f>
        <v>46375</v>
      </c>
      <c r="G62" s="40"/>
      <c r="H62" s="40">
        <f t="shared" si="60"/>
        <v>3</v>
      </c>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98"/>
      <c r="DO62" s="5"/>
      <c r="DP62" s="5"/>
      <c r="DQ62" s="5"/>
      <c r="DR62" s="5"/>
      <c r="DS62" s="5"/>
      <c r="DT62" s="5"/>
      <c r="DU62" s="5"/>
      <c r="DV62" s="5"/>
      <c r="DW62" s="5"/>
      <c r="DX62" s="5"/>
      <c r="DY62" s="5"/>
      <c r="DZ62" s="5"/>
      <c r="EA62" s="5"/>
      <c r="EB62" s="5"/>
      <c r="EC62" s="5"/>
      <c r="ED62" s="5"/>
      <c r="EE62" s="5"/>
      <c r="EF62" s="5"/>
      <c r="EG62" s="5"/>
      <c r="EH62" s="5"/>
    </row>
    <row r="63" spans="1:138" s="1" customFormat="1" ht="30" customHeight="1" thickBot="1" x14ac:dyDescent="0.35">
      <c r="A63" s="8"/>
      <c r="B63" s="23" t="s">
        <v>103</v>
      </c>
      <c r="C63" s="15" t="s">
        <v>55</v>
      </c>
      <c r="D63" s="41">
        <v>0</v>
      </c>
      <c r="E63" s="73">
        <f>F62</f>
        <v>46375</v>
      </c>
      <c r="F63" s="73">
        <f>E63</f>
        <v>46375</v>
      </c>
      <c r="G63" s="40"/>
      <c r="H63" s="40">
        <f t="shared" si="60"/>
        <v>1</v>
      </c>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98"/>
      <c r="DO63" s="5"/>
      <c r="DP63" s="5"/>
      <c r="DQ63" s="5"/>
      <c r="DR63" s="5"/>
      <c r="DS63" s="5"/>
      <c r="DT63" s="5"/>
      <c r="DU63" s="5"/>
      <c r="DV63" s="5"/>
      <c r="DW63" s="5"/>
      <c r="DX63" s="5"/>
      <c r="DY63" s="5"/>
      <c r="DZ63" s="5"/>
      <c r="EA63" s="5"/>
      <c r="EB63" s="5"/>
      <c r="EC63" s="5"/>
      <c r="ED63" s="5"/>
      <c r="EE63" s="5"/>
      <c r="EF63" s="5"/>
      <c r="EG63" s="5"/>
      <c r="EH63" s="5"/>
    </row>
    <row r="64" spans="1:138" s="1" customFormat="1" ht="30" customHeight="1" thickBot="1" x14ac:dyDescent="0.35">
      <c r="A64" s="8"/>
      <c r="B64" s="23" t="s">
        <v>104</v>
      </c>
      <c r="C64" s="15" t="s">
        <v>55</v>
      </c>
      <c r="D64" s="41">
        <v>0</v>
      </c>
      <c r="E64" s="73">
        <f>F63</f>
        <v>46375</v>
      </c>
      <c r="F64" s="73">
        <f>E64</f>
        <v>46375</v>
      </c>
      <c r="G64" s="40"/>
      <c r="H64" s="40">
        <f t="shared" si="60"/>
        <v>1</v>
      </c>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98"/>
      <c r="DO64" s="5"/>
      <c r="DP64" s="5"/>
      <c r="DQ64" s="5"/>
      <c r="DR64" s="5"/>
      <c r="DS64" s="5"/>
      <c r="DT64" s="5"/>
      <c r="DU64" s="5"/>
      <c r="DV64" s="5"/>
      <c r="DW64" s="5"/>
      <c r="DX64" s="5"/>
      <c r="DY64" s="5"/>
      <c r="DZ64" s="5"/>
      <c r="EA64" s="5"/>
      <c r="EB64" s="5"/>
      <c r="EC64" s="5"/>
      <c r="ED64" s="5"/>
      <c r="EE64" s="5"/>
      <c r="EF64" s="5"/>
      <c r="EG64" s="5"/>
      <c r="EH64" s="5"/>
    </row>
    <row r="65" spans="1:138" s="1" customFormat="1" ht="30" customHeight="1" thickBot="1" x14ac:dyDescent="0.35">
      <c r="A65" s="8"/>
      <c r="B65" s="23" t="s">
        <v>105</v>
      </c>
      <c r="C65" s="15" t="s">
        <v>55</v>
      </c>
      <c r="D65" s="41">
        <v>0</v>
      </c>
      <c r="E65" s="73">
        <f t="shared" ref="E65:E71" si="64">F64+1</f>
        <v>46376</v>
      </c>
      <c r="F65" s="73">
        <f>E65+1</f>
        <v>46377</v>
      </c>
      <c r="G65" s="40"/>
      <c r="H65" s="40">
        <f t="shared" si="60"/>
        <v>2</v>
      </c>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98"/>
      <c r="DO65" s="5"/>
      <c r="DP65" s="5"/>
      <c r="DQ65" s="5"/>
      <c r="DR65" s="5"/>
      <c r="DS65" s="5"/>
      <c r="DT65" s="5"/>
      <c r="DU65" s="5"/>
      <c r="DV65" s="5"/>
      <c r="DW65" s="5"/>
      <c r="DX65" s="5"/>
      <c r="DY65" s="5"/>
      <c r="DZ65" s="5"/>
      <c r="EA65" s="5"/>
      <c r="EB65" s="5"/>
      <c r="EC65" s="5"/>
      <c r="ED65" s="5"/>
      <c r="EE65" s="5"/>
      <c r="EF65" s="5"/>
      <c r="EG65" s="5"/>
      <c r="EH65" s="5"/>
    </row>
    <row r="66" spans="1:138" s="1" customFormat="1" ht="30" customHeight="1" thickBot="1" x14ac:dyDescent="0.35">
      <c r="A66" s="8"/>
      <c r="B66" s="23" t="s">
        <v>106</v>
      </c>
      <c r="C66" s="15" t="s">
        <v>55</v>
      </c>
      <c r="D66" s="41">
        <v>0</v>
      </c>
      <c r="E66" s="73">
        <f t="shared" si="64"/>
        <v>46378</v>
      </c>
      <c r="F66" s="73">
        <f>E66+1</f>
        <v>46379</v>
      </c>
      <c r="G66" s="40"/>
      <c r="H66" s="40">
        <f t="shared" si="60"/>
        <v>2</v>
      </c>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98"/>
      <c r="DO66" s="5"/>
      <c r="DP66" s="5"/>
      <c r="DQ66" s="5"/>
      <c r="DR66" s="5"/>
      <c r="DS66" s="5"/>
      <c r="DT66" s="5"/>
      <c r="DU66" s="5"/>
      <c r="DV66" s="5"/>
      <c r="DW66" s="5"/>
      <c r="DX66" s="5"/>
      <c r="DY66" s="5"/>
      <c r="DZ66" s="5"/>
      <c r="EA66" s="5"/>
      <c r="EB66" s="5"/>
      <c r="EC66" s="5"/>
      <c r="ED66" s="5"/>
      <c r="EE66" s="5"/>
      <c r="EF66" s="5"/>
      <c r="EG66" s="5"/>
      <c r="EH66" s="5"/>
    </row>
    <row r="67" spans="1:138" s="1" customFormat="1" ht="30" customHeight="1" thickBot="1" x14ac:dyDescent="0.35">
      <c r="A67" s="8"/>
      <c r="B67" s="23" t="s">
        <v>107</v>
      </c>
      <c r="C67" s="15" t="s">
        <v>55</v>
      </c>
      <c r="D67" s="41">
        <v>0</v>
      </c>
      <c r="E67" s="73">
        <f t="shared" si="64"/>
        <v>46380</v>
      </c>
      <c r="F67" s="73">
        <f>E67</f>
        <v>46380</v>
      </c>
      <c r="G67" s="40"/>
      <c r="H67" s="40">
        <f t="shared" si="60"/>
        <v>1</v>
      </c>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98"/>
      <c r="DO67" s="5"/>
      <c r="DP67" s="5"/>
      <c r="DQ67" s="5"/>
      <c r="DR67" s="5"/>
      <c r="DS67" s="5"/>
      <c r="DT67" s="5"/>
      <c r="DU67" s="5"/>
      <c r="DV67" s="5"/>
      <c r="DW67" s="5"/>
      <c r="DX67" s="5"/>
      <c r="DY67" s="5"/>
      <c r="DZ67" s="5"/>
      <c r="EA67" s="5"/>
      <c r="EB67" s="5"/>
      <c r="EC67" s="5"/>
      <c r="ED67" s="5"/>
      <c r="EE67" s="5"/>
      <c r="EF67" s="5"/>
      <c r="EG67" s="5"/>
      <c r="EH67" s="5"/>
    </row>
    <row r="68" spans="1:138" s="1" customFormat="1" ht="30" customHeight="1" thickBot="1" x14ac:dyDescent="0.35">
      <c r="A68" s="8"/>
      <c r="B68" s="23" t="s">
        <v>108</v>
      </c>
      <c r="C68" s="15" t="s">
        <v>55</v>
      </c>
      <c r="D68" s="41">
        <v>0</v>
      </c>
      <c r="E68" s="73">
        <f t="shared" si="64"/>
        <v>46381</v>
      </c>
      <c r="F68" s="73">
        <f>E68+1</f>
        <v>46382</v>
      </c>
      <c r="G68" s="40"/>
      <c r="H68" s="40">
        <f t="shared" si="60"/>
        <v>2</v>
      </c>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98"/>
      <c r="DO68" s="5"/>
      <c r="DP68" s="5"/>
      <c r="DQ68" s="5"/>
      <c r="DR68" s="5"/>
      <c r="DS68" s="5"/>
      <c r="DT68" s="5"/>
      <c r="DU68" s="5"/>
      <c r="DV68" s="5"/>
      <c r="DW68" s="5"/>
      <c r="DX68" s="5"/>
      <c r="DY68" s="5"/>
      <c r="DZ68" s="5"/>
      <c r="EA68" s="5"/>
      <c r="EB68" s="5"/>
      <c r="EC68" s="5"/>
      <c r="ED68" s="5"/>
      <c r="EE68" s="5"/>
      <c r="EF68" s="5"/>
      <c r="EG68" s="5"/>
      <c r="EH68" s="5"/>
    </row>
    <row r="69" spans="1:138" s="1" customFormat="1" ht="30" customHeight="1" thickBot="1" x14ac:dyDescent="0.35">
      <c r="A69" s="8"/>
      <c r="B69" s="23" t="s">
        <v>109</v>
      </c>
      <c r="C69" s="15" t="s">
        <v>55</v>
      </c>
      <c r="D69" s="41">
        <v>0</v>
      </c>
      <c r="E69" s="73">
        <f t="shared" si="64"/>
        <v>46383</v>
      </c>
      <c r="F69" s="73">
        <f>E69+1</f>
        <v>46384</v>
      </c>
      <c r="G69" s="40"/>
      <c r="H69" s="40">
        <f t="shared" si="60"/>
        <v>2</v>
      </c>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98"/>
      <c r="DO69" s="5"/>
      <c r="DP69" s="5"/>
      <c r="DQ69" s="5"/>
      <c r="DR69" s="5"/>
      <c r="DS69" s="5"/>
      <c r="DT69" s="5"/>
      <c r="DU69" s="5"/>
      <c r="DV69" s="5"/>
      <c r="DW69" s="5"/>
      <c r="DX69" s="5"/>
      <c r="DY69" s="5"/>
      <c r="DZ69" s="5"/>
      <c r="EA69" s="5"/>
      <c r="EB69" s="5"/>
      <c r="EC69" s="5"/>
      <c r="ED69" s="5"/>
      <c r="EE69" s="5"/>
      <c r="EF69" s="5"/>
      <c r="EG69" s="5"/>
      <c r="EH69" s="5"/>
    </row>
    <row r="70" spans="1:138" s="1" customFormat="1" ht="30" customHeight="1" thickBot="1" x14ac:dyDescent="0.35">
      <c r="A70" s="8"/>
      <c r="B70" s="23" t="s">
        <v>110</v>
      </c>
      <c r="C70" s="15" t="s">
        <v>55</v>
      </c>
      <c r="D70" s="41">
        <v>0</v>
      </c>
      <c r="E70" s="73">
        <f t="shared" si="64"/>
        <v>46385</v>
      </c>
      <c r="F70" s="73">
        <f>E70+2</f>
        <v>46387</v>
      </c>
      <c r="G70" s="40"/>
      <c r="H70" s="40">
        <f t="shared" si="60"/>
        <v>3</v>
      </c>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98"/>
      <c r="DO70" s="5"/>
      <c r="DP70" s="5"/>
      <c r="DQ70" s="5"/>
      <c r="DR70" s="5"/>
      <c r="DS70" s="5"/>
      <c r="DT70" s="5"/>
      <c r="DU70" s="5"/>
      <c r="DV70" s="5"/>
      <c r="DW70" s="5"/>
      <c r="DX70" s="5"/>
      <c r="DY70" s="5"/>
      <c r="DZ70" s="5"/>
      <c r="EA70" s="5"/>
      <c r="EB70" s="5"/>
      <c r="EC70" s="5"/>
      <c r="ED70" s="5"/>
      <c r="EE70" s="5"/>
      <c r="EF70" s="5"/>
      <c r="EG70" s="5"/>
      <c r="EH70" s="5"/>
    </row>
    <row r="71" spans="1:138" s="1" customFormat="1" ht="30" customHeight="1" thickBot="1" x14ac:dyDescent="0.35">
      <c r="A71" s="8"/>
      <c r="B71" s="23" t="s">
        <v>111</v>
      </c>
      <c r="C71" s="15" t="s">
        <v>55</v>
      </c>
      <c r="D71" s="41">
        <v>0</v>
      </c>
      <c r="E71" s="73">
        <f t="shared" si="64"/>
        <v>46388</v>
      </c>
      <c r="F71" s="73">
        <f>E71+1</f>
        <v>46389</v>
      </c>
      <c r="G71" s="40"/>
      <c r="H71" s="40">
        <f t="shared" si="60"/>
        <v>2</v>
      </c>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98"/>
      <c r="DO71" s="5"/>
      <c r="DP71" s="5"/>
      <c r="DQ71" s="5"/>
      <c r="DR71" s="5"/>
      <c r="DS71" s="5"/>
      <c r="DT71" s="5"/>
      <c r="DU71" s="5"/>
      <c r="DV71" s="5"/>
      <c r="DW71" s="5"/>
      <c r="DX71" s="5"/>
      <c r="DY71" s="5"/>
      <c r="DZ71" s="5"/>
      <c r="EA71" s="5"/>
      <c r="EB71" s="5"/>
      <c r="EC71" s="5"/>
      <c r="ED71" s="5"/>
      <c r="EE71" s="5"/>
      <c r="EF71" s="5"/>
      <c r="EG71" s="5"/>
      <c r="EH71" s="5"/>
    </row>
    <row r="72" spans="1:138" s="1" customFormat="1" ht="30" customHeight="1" thickBot="1" x14ac:dyDescent="0.35">
      <c r="A72" s="8"/>
      <c r="B72" s="23" t="s">
        <v>112</v>
      </c>
      <c r="C72" s="15" t="s">
        <v>55</v>
      </c>
      <c r="D72" s="41">
        <v>0</v>
      </c>
      <c r="E72" s="73">
        <f t="shared" si="62"/>
        <v>46390</v>
      </c>
      <c r="F72" s="73">
        <f>E72+1</f>
        <v>46391</v>
      </c>
      <c r="G72" s="40"/>
      <c r="H72" s="40">
        <f t="shared" si="60"/>
        <v>2</v>
      </c>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98"/>
      <c r="DO72" s="5"/>
      <c r="DP72" s="5"/>
      <c r="DQ72" s="5"/>
      <c r="DR72" s="5"/>
      <c r="DS72" s="5"/>
      <c r="DT72" s="5"/>
      <c r="DU72" s="5"/>
      <c r="DV72" s="5"/>
      <c r="DW72" s="5"/>
      <c r="DX72" s="5"/>
      <c r="DY72" s="5"/>
      <c r="DZ72" s="5"/>
      <c r="EA72" s="5"/>
      <c r="EB72" s="5"/>
      <c r="EC72" s="5"/>
      <c r="ED72" s="5"/>
      <c r="EE72" s="5"/>
      <c r="EF72" s="5"/>
      <c r="EG72" s="5"/>
      <c r="EH72" s="5"/>
    </row>
    <row r="73" spans="1:138" s="1" customFormat="1" ht="30" customHeight="1" thickBot="1" x14ac:dyDescent="0.35">
      <c r="A73" s="8"/>
      <c r="B73" s="23" t="s">
        <v>113</v>
      </c>
      <c r="C73" s="15" t="s">
        <v>55</v>
      </c>
      <c r="D73" s="41">
        <v>0</v>
      </c>
      <c r="E73" s="73">
        <f t="shared" si="62"/>
        <v>46392</v>
      </c>
      <c r="F73" s="73">
        <f>E73+2</f>
        <v>46394</v>
      </c>
      <c r="G73" s="40"/>
      <c r="H73" s="40">
        <f t="shared" si="60"/>
        <v>3</v>
      </c>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98"/>
      <c r="DO73" s="5"/>
      <c r="DP73" s="5"/>
      <c r="DQ73" s="5"/>
      <c r="DR73" s="5"/>
      <c r="DS73" s="5"/>
      <c r="DT73" s="5"/>
      <c r="DU73" s="5"/>
      <c r="DV73" s="5"/>
      <c r="DW73" s="5"/>
      <c r="DX73" s="5"/>
      <c r="DY73" s="5"/>
      <c r="DZ73" s="5"/>
      <c r="EA73" s="5"/>
      <c r="EB73" s="5"/>
      <c r="EC73" s="5"/>
      <c r="ED73" s="5"/>
      <c r="EE73" s="5"/>
      <c r="EF73" s="5"/>
      <c r="EG73" s="5"/>
      <c r="EH73" s="5"/>
    </row>
    <row r="74" spans="1:138" s="1" customFormat="1" ht="30" customHeight="1" thickBot="1" x14ac:dyDescent="0.35">
      <c r="A74" s="8"/>
      <c r="B74" s="23" t="s">
        <v>114</v>
      </c>
      <c r="C74" s="15" t="s">
        <v>55</v>
      </c>
      <c r="D74" s="41">
        <v>0</v>
      </c>
      <c r="E74" s="73">
        <f>F73</f>
        <v>46394</v>
      </c>
      <c r="F74" s="73">
        <f>E74</f>
        <v>46394</v>
      </c>
      <c r="G74" s="40"/>
      <c r="H74" s="40">
        <f t="shared" si="60"/>
        <v>1</v>
      </c>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98"/>
      <c r="DO74" s="5"/>
      <c r="DP74" s="5"/>
      <c r="DQ74" s="5"/>
      <c r="DR74" s="5"/>
      <c r="DS74" s="5"/>
      <c r="DT74" s="5"/>
      <c r="DU74" s="5"/>
      <c r="DV74" s="5"/>
      <c r="DW74" s="5"/>
      <c r="DX74" s="5"/>
      <c r="DY74" s="5"/>
      <c r="DZ74" s="5"/>
      <c r="EA74" s="5"/>
      <c r="EB74" s="5"/>
      <c r="EC74" s="5"/>
      <c r="ED74" s="5"/>
      <c r="EE74" s="5"/>
      <c r="EF74" s="5"/>
      <c r="EG74" s="5"/>
      <c r="EH74" s="5"/>
    </row>
    <row r="75" spans="1:138" s="1" customFormat="1" ht="30" customHeight="1" thickBot="1" x14ac:dyDescent="0.35">
      <c r="A75" s="8"/>
      <c r="B75" s="23" t="s">
        <v>115</v>
      </c>
      <c r="C75" s="15" t="s">
        <v>55</v>
      </c>
      <c r="D75" s="41">
        <v>0</v>
      </c>
      <c r="E75" s="73">
        <f>F74</f>
        <v>46394</v>
      </c>
      <c r="F75" s="73">
        <f>E75</f>
        <v>46394</v>
      </c>
      <c r="G75" s="40"/>
      <c r="H75" s="40">
        <f t="shared" si="60"/>
        <v>1</v>
      </c>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98"/>
      <c r="DO75" s="5"/>
      <c r="DP75" s="5"/>
      <c r="DQ75" s="5"/>
      <c r="DR75" s="5"/>
      <c r="DS75" s="5"/>
      <c r="DT75" s="5"/>
      <c r="DU75" s="5"/>
      <c r="DV75" s="5"/>
      <c r="DW75" s="5"/>
      <c r="DX75" s="5"/>
      <c r="DY75" s="5"/>
      <c r="DZ75" s="5"/>
      <c r="EA75" s="5"/>
      <c r="EB75" s="5"/>
      <c r="EC75" s="5"/>
      <c r="ED75" s="5"/>
      <c r="EE75" s="5"/>
      <c r="EF75" s="5"/>
      <c r="EG75" s="5"/>
      <c r="EH75" s="5"/>
    </row>
    <row r="76" spans="1:138" s="1" customFormat="1" ht="30" customHeight="1" thickBot="1" x14ac:dyDescent="0.35">
      <c r="A76" s="8"/>
      <c r="B76" s="23" t="s">
        <v>116</v>
      </c>
      <c r="C76" s="15" t="s">
        <v>55</v>
      </c>
      <c r="D76" s="41">
        <v>0</v>
      </c>
      <c r="E76" s="73">
        <f>F75+1</f>
        <v>46395</v>
      </c>
      <c r="F76" s="73">
        <f>E76+1</f>
        <v>46396</v>
      </c>
      <c r="G76" s="40"/>
      <c r="H76" s="40">
        <f t="shared" si="60"/>
        <v>2</v>
      </c>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98"/>
      <c r="DO76" s="5"/>
      <c r="DP76" s="5"/>
      <c r="DQ76" s="5"/>
      <c r="DR76" s="5"/>
      <c r="DS76" s="5"/>
      <c r="DT76" s="5"/>
      <c r="DU76" s="5"/>
      <c r="DV76" s="5"/>
      <c r="DW76" s="5"/>
      <c r="DX76" s="5"/>
      <c r="DY76" s="5"/>
      <c r="DZ76" s="5"/>
      <c r="EA76" s="5"/>
      <c r="EB76" s="5"/>
      <c r="EC76" s="5"/>
      <c r="ED76" s="5"/>
      <c r="EE76" s="5"/>
      <c r="EF76" s="5"/>
      <c r="EG76" s="5"/>
      <c r="EH76" s="5"/>
    </row>
    <row r="77" spans="1:138" s="1" customFormat="1" ht="30" customHeight="1" thickBot="1" x14ac:dyDescent="0.35">
      <c r="A77" s="8"/>
      <c r="B77" s="23" t="s">
        <v>117</v>
      </c>
      <c r="C77" s="15" t="s">
        <v>55</v>
      </c>
      <c r="D77" s="41">
        <v>0</v>
      </c>
      <c r="E77" s="73">
        <f>F76</f>
        <v>46396</v>
      </c>
      <c r="F77" s="73">
        <f>E77</f>
        <v>46396</v>
      </c>
      <c r="G77" s="40"/>
      <c r="H77" s="40">
        <f t="shared" si="60"/>
        <v>1</v>
      </c>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98"/>
      <c r="DO77" s="5"/>
      <c r="DP77" s="5"/>
      <c r="DQ77" s="5"/>
      <c r="DR77" s="5"/>
      <c r="DS77" s="5"/>
      <c r="DT77" s="5"/>
      <c r="DU77" s="5"/>
      <c r="DV77" s="5"/>
      <c r="DW77" s="5"/>
      <c r="DX77" s="5"/>
      <c r="DY77" s="5"/>
      <c r="DZ77" s="5"/>
      <c r="EA77" s="5"/>
      <c r="EB77" s="5"/>
      <c r="EC77" s="5"/>
      <c r="ED77" s="5"/>
      <c r="EE77" s="5"/>
      <c r="EF77" s="5"/>
      <c r="EG77" s="5"/>
      <c r="EH77" s="5"/>
    </row>
    <row r="78" spans="1:138" s="1" customFormat="1" ht="30" customHeight="1" thickBot="1" x14ac:dyDescent="0.35">
      <c r="A78" s="8"/>
      <c r="B78" s="23" t="s">
        <v>118</v>
      </c>
      <c r="C78" s="15" t="s">
        <v>55</v>
      </c>
      <c r="D78" s="41">
        <v>0</v>
      </c>
      <c r="E78" s="73">
        <f>F77+1</f>
        <v>46397</v>
      </c>
      <c r="F78" s="73">
        <f>E78+2</f>
        <v>46399</v>
      </c>
      <c r="G78" s="40"/>
      <c r="H78" s="40">
        <f t="shared" si="60"/>
        <v>3</v>
      </c>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98"/>
      <c r="DO78" s="5"/>
      <c r="DP78" s="5"/>
      <c r="DQ78" s="5"/>
      <c r="DR78" s="5"/>
      <c r="DS78" s="5"/>
      <c r="DT78" s="5"/>
      <c r="DU78" s="5"/>
      <c r="DV78" s="5"/>
      <c r="DW78" s="5"/>
      <c r="DX78" s="5"/>
      <c r="DY78" s="5"/>
      <c r="DZ78" s="5"/>
      <c r="EA78" s="5"/>
      <c r="EB78" s="5"/>
      <c r="EC78" s="5"/>
      <c r="ED78" s="5"/>
      <c r="EE78" s="5"/>
      <c r="EF78" s="5"/>
      <c r="EG78" s="5"/>
      <c r="EH78" s="5"/>
    </row>
    <row r="79" spans="1:138" s="1" customFormat="1" ht="30" customHeight="1" thickBot="1" x14ac:dyDescent="0.35">
      <c r="A79" s="8"/>
      <c r="B79" s="23" t="s">
        <v>119</v>
      </c>
      <c r="C79" s="15" t="s">
        <v>55</v>
      </c>
      <c r="D79" s="41">
        <v>0</v>
      </c>
      <c r="E79" s="73">
        <f>F78+1</f>
        <v>46400</v>
      </c>
      <c r="F79" s="73">
        <f>E79+1</f>
        <v>46401</v>
      </c>
      <c r="G79" s="40"/>
      <c r="H79" s="40">
        <f t="shared" si="60"/>
        <v>2</v>
      </c>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98"/>
      <c r="DO79" s="5"/>
      <c r="DP79" s="5"/>
      <c r="DQ79" s="5"/>
      <c r="DR79" s="5"/>
      <c r="DS79" s="5"/>
      <c r="DT79" s="5"/>
      <c r="DU79" s="5"/>
      <c r="DV79" s="5"/>
      <c r="DW79" s="5"/>
      <c r="DX79" s="5"/>
      <c r="DY79" s="5"/>
      <c r="DZ79" s="5"/>
      <c r="EA79" s="5"/>
      <c r="EB79" s="5"/>
      <c r="EC79" s="5"/>
      <c r="ED79" s="5"/>
      <c r="EE79" s="5"/>
      <c r="EF79" s="5"/>
      <c r="EG79" s="5"/>
      <c r="EH79" s="5"/>
    </row>
    <row r="80" spans="1:138" s="1" customFormat="1" ht="30" customHeight="1" thickBot="1" x14ac:dyDescent="0.35">
      <c r="A80" s="8"/>
      <c r="B80" s="23" t="s">
        <v>120</v>
      </c>
      <c r="C80" s="15" t="s">
        <v>55</v>
      </c>
      <c r="D80" s="41">
        <v>0</v>
      </c>
      <c r="E80" s="73">
        <f>F79+1</f>
        <v>46402</v>
      </c>
      <c r="F80" s="73">
        <f>E80+1</f>
        <v>46403</v>
      </c>
      <c r="G80" s="40"/>
      <c r="H80" s="40">
        <f t="shared" si="60"/>
        <v>2</v>
      </c>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98"/>
      <c r="DO80" s="5"/>
      <c r="DP80" s="5"/>
      <c r="DQ80" s="5"/>
      <c r="DR80" s="5"/>
      <c r="DS80" s="5"/>
      <c r="DT80" s="5"/>
      <c r="DU80" s="5"/>
      <c r="DV80" s="5"/>
      <c r="DW80" s="5"/>
      <c r="DX80" s="5"/>
      <c r="DY80" s="5"/>
      <c r="DZ80" s="5"/>
      <c r="EA80" s="5"/>
      <c r="EB80" s="5"/>
      <c r="EC80" s="5"/>
      <c r="ED80" s="5"/>
      <c r="EE80" s="5"/>
      <c r="EF80" s="5"/>
      <c r="EG80" s="5"/>
      <c r="EH80" s="5"/>
    </row>
    <row r="81" spans="1:138" s="1" customFormat="1" ht="30" customHeight="1" thickBot="1" x14ac:dyDescent="0.35">
      <c r="A81" s="8"/>
      <c r="B81" s="23" t="s">
        <v>121</v>
      </c>
      <c r="C81" s="15" t="s">
        <v>55</v>
      </c>
      <c r="D81" s="41">
        <v>0</v>
      </c>
      <c r="E81" s="73">
        <f>F80</f>
        <v>46403</v>
      </c>
      <c r="F81" s="73">
        <f>E81+1</f>
        <v>46404</v>
      </c>
      <c r="G81" s="40"/>
      <c r="H81" s="40">
        <f t="shared" si="60"/>
        <v>2</v>
      </c>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98"/>
      <c r="DO81" s="5"/>
      <c r="DP81" s="5"/>
      <c r="DQ81" s="5"/>
      <c r="DR81" s="5"/>
      <c r="DS81" s="5"/>
      <c r="DT81" s="5"/>
      <c r="DU81" s="5"/>
      <c r="DV81" s="5"/>
      <c r="DW81" s="5"/>
      <c r="DX81" s="5"/>
      <c r="DY81" s="5"/>
      <c r="DZ81" s="5"/>
      <c r="EA81" s="5"/>
      <c r="EB81" s="5"/>
      <c r="EC81" s="5"/>
      <c r="ED81" s="5"/>
      <c r="EE81" s="5"/>
      <c r="EF81" s="5"/>
      <c r="EG81" s="5"/>
      <c r="EH81" s="5"/>
    </row>
    <row r="82" spans="1:138" s="1" customFormat="1" ht="30" customHeight="1" thickBot="1" x14ac:dyDescent="0.35">
      <c r="A82" s="8"/>
      <c r="B82" s="23" t="s">
        <v>122</v>
      </c>
      <c r="C82" s="15" t="s">
        <v>55</v>
      </c>
      <c r="D82" s="41">
        <v>0</v>
      </c>
      <c r="E82" s="73">
        <f>F81</f>
        <v>46404</v>
      </c>
      <c r="F82" s="73">
        <f>E82</f>
        <v>46404</v>
      </c>
      <c r="G82" s="40"/>
      <c r="H82" s="40">
        <f t="shared" si="60"/>
        <v>1</v>
      </c>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98"/>
      <c r="DO82" s="5"/>
      <c r="DP82" s="5"/>
      <c r="DQ82" s="5"/>
      <c r="DR82" s="5"/>
      <c r="DS82" s="5"/>
      <c r="DT82" s="5"/>
      <c r="DU82" s="5"/>
      <c r="DV82" s="5"/>
      <c r="DW82" s="5"/>
      <c r="DX82" s="5"/>
      <c r="DY82" s="5"/>
      <c r="DZ82" s="5"/>
      <c r="EA82" s="5"/>
      <c r="EB82" s="5"/>
      <c r="EC82" s="5"/>
      <c r="ED82" s="5"/>
      <c r="EE82" s="5"/>
      <c r="EF82" s="5"/>
      <c r="EG82" s="5"/>
      <c r="EH82" s="5"/>
    </row>
    <row r="83" spans="1:138" s="1" customFormat="1" ht="30" customHeight="1" thickBot="1" x14ac:dyDescent="0.35">
      <c r="A83" s="8"/>
      <c r="B83" s="23" t="s">
        <v>123</v>
      </c>
      <c r="C83" s="15" t="s">
        <v>55</v>
      </c>
      <c r="D83" s="41">
        <v>0</v>
      </c>
      <c r="E83" s="73">
        <f>F82</f>
        <v>46404</v>
      </c>
      <c r="F83" s="73">
        <f>E83</f>
        <v>46404</v>
      </c>
      <c r="G83" s="40"/>
      <c r="H83" s="40">
        <f t="shared" si="60"/>
        <v>1</v>
      </c>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98"/>
      <c r="DO83" s="5"/>
      <c r="DP83" s="5"/>
      <c r="DQ83" s="5"/>
      <c r="DR83" s="5"/>
      <c r="DS83" s="5"/>
      <c r="DT83" s="5"/>
      <c r="DU83" s="5"/>
      <c r="DV83" s="5"/>
      <c r="DW83" s="5"/>
      <c r="DX83" s="5"/>
      <c r="DY83" s="5"/>
      <c r="DZ83" s="5"/>
      <c r="EA83" s="5"/>
      <c r="EB83" s="5"/>
      <c r="EC83" s="5"/>
      <c r="ED83" s="5"/>
      <c r="EE83" s="5"/>
      <c r="EF83" s="5"/>
      <c r="EG83" s="5"/>
      <c r="EH83" s="5"/>
    </row>
    <row r="84" spans="1:138" s="1" customFormat="1" ht="30" customHeight="1" thickBot="1" x14ac:dyDescent="0.35">
      <c r="A84" s="8"/>
      <c r="B84" s="23" t="s">
        <v>124</v>
      </c>
      <c r="C84" s="15" t="s">
        <v>55</v>
      </c>
      <c r="D84" s="41">
        <v>0</v>
      </c>
      <c r="E84" s="73">
        <f>F83+1</f>
        <v>46405</v>
      </c>
      <c r="F84" s="73">
        <f>E84+1</f>
        <v>46406</v>
      </c>
      <c r="G84" s="40"/>
      <c r="H84" s="40">
        <f t="shared" si="60"/>
        <v>2</v>
      </c>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98"/>
      <c r="DO84" s="5"/>
      <c r="DP84" s="5"/>
      <c r="DQ84" s="5"/>
      <c r="DR84" s="5"/>
      <c r="DS84" s="5"/>
      <c r="DT84" s="5"/>
      <c r="DU84" s="5"/>
      <c r="DV84" s="5"/>
      <c r="DW84" s="5"/>
      <c r="DX84" s="5"/>
      <c r="DY84" s="5"/>
      <c r="DZ84" s="5"/>
      <c r="EA84" s="5"/>
      <c r="EB84" s="5"/>
      <c r="EC84" s="5"/>
      <c r="ED84" s="5"/>
      <c r="EE84" s="5"/>
      <c r="EF84" s="5"/>
      <c r="EG84" s="5"/>
      <c r="EH84" s="5"/>
    </row>
    <row r="85" spans="1:138" s="1" customFormat="1" ht="30" customHeight="1" thickBot="1" x14ac:dyDescent="0.35">
      <c r="A85" s="8"/>
      <c r="B85" s="23" t="s">
        <v>125</v>
      </c>
      <c r="C85" s="15" t="s">
        <v>55</v>
      </c>
      <c r="D85" s="41">
        <v>0</v>
      </c>
      <c r="E85" s="73">
        <f>F84+1</f>
        <v>46407</v>
      </c>
      <c r="F85" s="73">
        <f>E85+2</f>
        <v>46409</v>
      </c>
      <c r="G85" s="40"/>
      <c r="H85" s="40">
        <f t="shared" si="60"/>
        <v>3</v>
      </c>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98"/>
      <c r="DO85" s="5"/>
      <c r="DP85" s="5"/>
      <c r="DQ85" s="5"/>
      <c r="DR85" s="5"/>
      <c r="DS85" s="5"/>
      <c r="DT85" s="5"/>
      <c r="DU85" s="5"/>
      <c r="DV85" s="5"/>
      <c r="DW85" s="5"/>
      <c r="DX85" s="5"/>
      <c r="DY85" s="5"/>
      <c r="DZ85" s="5"/>
      <c r="EA85" s="5"/>
      <c r="EB85" s="5"/>
      <c r="EC85" s="5"/>
      <c r="ED85" s="5"/>
      <c r="EE85" s="5"/>
      <c r="EF85" s="5"/>
      <c r="EG85" s="5"/>
      <c r="EH85" s="5"/>
    </row>
    <row r="86" spans="1:138" s="1" customFormat="1" ht="30" customHeight="1" thickBot="1" x14ac:dyDescent="0.35">
      <c r="A86" s="8"/>
      <c r="B86" s="23" t="s">
        <v>126</v>
      </c>
      <c r="C86" s="15" t="s">
        <v>55</v>
      </c>
      <c r="D86" s="41">
        <v>0</v>
      </c>
      <c r="E86" s="73">
        <f>F85</f>
        <v>46409</v>
      </c>
      <c r="F86" s="73">
        <f>E86</f>
        <v>46409</v>
      </c>
      <c r="G86" s="40"/>
      <c r="H86" s="40">
        <f t="shared" si="60"/>
        <v>1</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98"/>
      <c r="DO86" s="5"/>
      <c r="DP86" s="5"/>
      <c r="DQ86" s="5"/>
      <c r="DR86" s="5"/>
      <c r="DS86" s="5"/>
      <c r="DT86" s="5"/>
      <c r="DU86" s="5"/>
      <c r="DV86" s="5"/>
      <c r="DW86" s="5"/>
      <c r="DX86" s="5"/>
      <c r="DY86" s="5"/>
      <c r="DZ86" s="5"/>
      <c r="EA86" s="5"/>
      <c r="EB86" s="5"/>
      <c r="EC86" s="5"/>
      <c r="ED86" s="5"/>
      <c r="EE86" s="5"/>
      <c r="EF86" s="5"/>
      <c r="EG86" s="5"/>
      <c r="EH86" s="5"/>
    </row>
    <row r="87" spans="1:138" s="1" customFormat="1" ht="30" customHeight="1" thickBot="1" x14ac:dyDescent="0.35">
      <c r="A87" s="8"/>
      <c r="B87" s="23" t="s">
        <v>127</v>
      </c>
      <c r="C87" s="15" t="s">
        <v>55</v>
      </c>
      <c r="D87" s="41">
        <v>0</v>
      </c>
      <c r="E87" s="73">
        <f>F86</f>
        <v>46409</v>
      </c>
      <c r="F87" s="73">
        <f>E87</f>
        <v>46409</v>
      </c>
      <c r="G87" s="40"/>
      <c r="H87" s="40">
        <f t="shared" si="60"/>
        <v>1</v>
      </c>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98"/>
      <c r="DO87" s="5"/>
      <c r="DP87" s="5"/>
      <c r="DQ87" s="5"/>
      <c r="DR87" s="5"/>
      <c r="DS87" s="5"/>
      <c r="DT87" s="5"/>
      <c r="DU87" s="5"/>
      <c r="DV87" s="5"/>
      <c r="DW87" s="5"/>
      <c r="DX87" s="5"/>
      <c r="DY87" s="5"/>
      <c r="DZ87" s="5"/>
      <c r="EA87" s="5"/>
      <c r="EB87" s="5"/>
      <c r="EC87" s="5"/>
      <c r="ED87" s="5"/>
      <c r="EE87" s="5"/>
      <c r="EF87" s="5"/>
      <c r="EG87" s="5"/>
      <c r="EH87" s="5"/>
    </row>
    <row r="88" spans="1:138" s="1" customFormat="1" ht="30" customHeight="1" thickBot="1" x14ac:dyDescent="0.35">
      <c r="A88" s="8"/>
      <c r="B88" s="23" t="s">
        <v>128</v>
      </c>
      <c r="C88" s="15" t="s">
        <v>55</v>
      </c>
      <c r="D88" s="41">
        <v>0</v>
      </c>
      <c r="E88" s="73">
        <f>F87+1</f>
        <v>46410</v>
      </c>
      <c r="F88" s="73">
        <f>E88</f>
        <v>46410</v>
      </c>
      <c r="G88" s="40"/>
      <c r="H88" s="40">
        <f t="shared" si="60"/>
        <v>1</v>
      </c>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98"/>
      <c r="DO88" s="5"/>
      <c r="DP88" s="5"/>
      <c r="DQ88" s="5"/>
      <c r="DR88" s="5"/>
      <c r="DS88" s="5"/>
      <c r="DT88" s="5"/>
      <c r="DU88" s="5"/>
      <c r="DV88" s="5"/>
      <c r="DW88" s="5"/>
      <c r="DX88" s="5"/>
      <c r="DY88" s="5"/>
      <c r="DZ88" s="5"/>
      <c r="EA88" s="5"/>
      <c r="EB88" s="5"/>
      <c r="EC88" s="5"/>
      <c r="ED88" s="5"/>
      <c r="EE88" s="5"/>
      <c r="EF88" s="5"/>
      <c r="EG88" s="5"/>
      <c r="EH88" s="5"/>
    </row>
    <row r="89" spans="1:138" s="1" customFormat="1" ht="30" customHeight="1" thickBot="1" x14ac:dyDescent="0.35">
      <c r="A89" s="8"/>
      <c r="B89" s="23" t="s">
        <v>129</v>
      </c>
      <c r="C89" s="15" t="s">
        <v>55</v>
      </c>
      <c r="D89" s="41">
        <v>0</v>
      </c>
      <c r="E89" s="73">
        <f t="shared" ref="E89:E92" si="65">F88+1</f>
        <v>46411</v>
      </c>
      <c r="F89" s="73">
        <f>E89+1</f>
        <v>46412</v>
      </c>
      <c r="G89" s="40"/>
      <c r="H89" s="40">
        <f t="shared" si="60"/>
        <v>2</v>
      </c>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98"/>
      <c r="DO89" s="5"/>
      <c r="DP89" s="5"/>
      <c r="DQ89" s="5"/>
      <c r="DR89" s="5"/>
      <c r="DS89" s="5"/>
      <c r="DT89" s="5"/>
      <c r="DU89" s="5"/>
      <c r="DV89" s="5"/>
      <c r="DW89" s="5"/>
      <c r="DX89" s="5"/>
      <c r="DY89" s="5"/>
      <c r="DZ89" s="5"/>
      <c r="EA89" s="5"/>
      <c r="EB89" s="5"/>
      <c r="EC89" s="5"/>
      <c r="ED89" s="5"/>
      <c r="EE89" s="5"/>
      <c r="EF89" s="5"/>
      <c r="EG89" s="5"/>
      <c r="EH89" s="5"/>
    </row>
    <row r="90" spans="1:138" s="1" customFormat="1" ht="30" customHeight="1" thickBot="1" x14ac:dyDescent="0.35">
      <c r="A90" s="8"/>
      <c r="B90" s="23" t="s">
        <v>130</v>
      </c>
      <c r="C90" s="15" t="s">
        <v>55</v>
      </c>
      <c r="D90" s="41">
        <v>0</v>
      </c>
      <c r="E90" s="73">
        <f t="shared" si="65"/>
        <v>46413</v>
      </c>
      <c r="F90" s="73">
        <f>E90+2</f>
        <v>46415</v>
      </c>
      <c r="G90" s="40"/>
      <c r="H90" s="40">
        <f t="shared" si="60"/>
        <v>3</v>
      </c>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98"/>
      <c r="DO90" s="5"/>
      <c r="DP90" s="5"/>
      <c r="DQ90" s="5"/>
      <c r="DR90" s="5"/>
      <c r="DS90" s="5"/>
      <c r="DT90" s="5"/>
      <c r="DU90" s="5"/>
      <c r="DV90" s="5"/>
      <c r="DW90" s="5"/>
      <c r="DX90" s="5"/>
      <c r="DY90" s="5"/>
      <c r="DZ90" s="5"/>
      <c r="EA90" s="5"/>
      <c r="EB90" s="5"/>
      <c r="EC90" s="5"/>
      <c r="ED90" s="5"/>
      <c r="EE90" s="5"/>
      <c r="EF90" s="5"/>
      <c r="EG90" s="5"/>
      <c r="EH90" s="5"/>
    </row>
    <row r="91" spans="1:138" s="1" customFormat="1" ht="30" customHeight="1" thickBot="1" x14ac:dyDescent="0.35">
      <c r="A91" s="8"/>
      <c r="B91" s="23" t="s">
        <v>131</v>
      </c>
      <c r="C91" s="15" t="s">
        <v>55</v>
      </c>
      <c r="D91" s="41">
        <v>0</v>
      </c>
      <c r="E91" s="73">
        <f>F90</f>
        <v>46415</v>
      </c>
      <c r="F91" s="73">
        <f>E91</f>
        <v>46415</v>
      </c>
      <c r="G91" s="40"/>
      <c r="H91" s="40">
        <f t="shared" si="60"/>
        <v>1</v>
      </c>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98"/>
      <c r="DO91" s="5"/>
      <c r="DP91" s="5"/>
      <c r="DQ91" s="5"/>
      <c r="DR91" s="5"/>
      <c r="DS91" s="5"/>
      <c r="DT91" s="5"/>
      <c r="DU91" s="5"/>
      <c r="DV91" s="5"/>
      <c r="DW91" s="5"/>
      <c r="DX91" s="5"/>
      <c r="DY91" s="5"/>
      <c r="DZ91" s="5"/>
      <c r="EA91" s="5"/>
      <c r="EB91" s="5"/>
      <c r="EC91" s="5"/>
      <c r="ED91" s="5"/>
      <c r="EE91" s="5"/>
      <c r="EF91" s="5"/>
      <c r="EG91" s="5"/>
      <c r="EH91" s="5"/>
    </row>
    <row r="92" spans="1:138" s="1" customFormat="1" ht="30" customHeight="1" thickBot="1" x14ac:dyDescent="0.35">
      <c r="A92" s="8"/>
      <c r="B92" s="23" t="s">
        <v>132</v>
      </c>
      <c r="C92" s="15" t="s">
        <v>55</v>
      </c>
      <c r="D92" s="41">
        <v>0</v>
      </c>
      <c r="E92" s="73">
        <f t="shared" si="65"/>
        <v>46416</v>
      </c>
      <c r="F92" s="73">
        <f>E92+2</f>
        <v>46418</v>
      </c>
      <c r="G92" s="40"/>
      <c r="H92" s="40">
        <f t="shared" si="60"/>
        <v>3</v>
      </c>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98"/>
      <c r="DO92" s="5"/>
      <c r="DP92" s="5"/>
      <c r="DQ92" s="5"/>
      <c r="DR92" s="5"/>
      <c r="DS92" s="5"/>
      <c r="DT92" s="5"/>
      <c r="DU92" s="5"/>
      <c r="DV92" s="5"/>
      <c r="DW92" s="5"/>
      <c r="DX92" s="5"/>
      <c r="DY92" s="5"/>
      <c r="DZ92" s="5"/>
      <c r="EA92" s="5"/>
      <c r="EB92" s="5"/>
      <c r="EC92" s="5"/>
      <c r="ED92" s="5"/>
      <c r="EE92" s="5"/>
      <c r="EF92" s="5"/>
      <c r="EG92" s="5"/>
      <c r="EH92" s="5"/>
    </row>
    <row r="93" spans="1:138" s="1" customFormat="1" ht="30" customHeight="1" thickBot="1" x14ac:dyDescent="0.35">
      <c r="A93" s="8"/>
      <c r="B93" s="23" t="s">
        <v>133</v>
      </c>
      <c r="C93" s="15" t="s">
        <v>55</v>
      </c>
      <c r="D93" s="41">
        <v>0</v>
      </c>
      <c r="E93" s="73">
        <f>F92+1</f>
        <v>46419</v>
      </c>
      <c r="F93" s="73">
        <f>E93+1</f>
        <v>46420</v>
      </c>
      <c r="G93" s="40"/>
      <c r="H93" s="40">
        <f t="shared" si="60"/>
        <v>2</v>
      </c>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98"/>
      <c r="DO93" s="5"/>
      <c r="DP93" s="5"/>
      <c r="DQ93" s="5"/>
      <c r="DR93" s="5"/>
      <c r="DS93" s="5"/>
      <c r="DT93" s="5"/>
      <c r="DU93" s="5"/>
      <c r="DV93" s="5"/>
      <c r="DW93" s="5"/>
      <c r="DX93" s="5"/>
      <c r="DY93" s="5"/>
      <c r="DZ93" s="5"/>
      <c r="EA93" s="5"/>
      <c r="EB93" s="5"/>
      <c r="EC93" s="5"/>
      <c r="ED93" s="5"/>
      <c r="EE93" s="5"/>
      <c r="EF93" s="5"/>
      <c r="EG93" s="5"/>
      <c r="EH93" s="5"/>
    </row>
    <row r="94" spans="1:138" s="1" customFormat="1" ht="30" customHeight="1" thickBot="1" x14ac:dyDescent="0.35">
      <c r="A94" s="8"/>
      <c r="B94" s="23" t="s">
        <v>134</v>
      </c>
      <c r="C94" s="15" t="s">
        <v>55</v>
      </c>
      <c r="D94" s="41">
        <v>0</v>
      </c>
      <c r="E94" s="73">
        <f>F93</f>
        <v>46420</v>
      </c>
      <c r="F94" s="73">
        <f>E94</f>
        <v>46420</v>
      </c>
      <c r="G94" s="40"/>
      <c r="H94" s="40">
        <f t="shared" si="60"/>
        <v>1</v>
      </c>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98"/>
      <c r="DO94" s="5"/>
      <c r="DP94" s="5"/>
      <c r="DQ94" s="5"/>
      <c r="DR94" s="5"/>
      <c r="DS94" s="5"/>
      <c r="DT94" s="5"/>
      <c r="DU94" s="5"/>
      <c r="DV94" s="5"/>
      <c r="DW94" s="5"/>
      <c r="DX94" s="5"/>
      <c r="DY94" s="5"/>
      <c r="DZ94" s="5"/>
      <c r="EA94" s="5"/>
      <c r="EB94" s="5"/>
      <c r="EC94" s="5"/>
      <c r="ED94" s="5"/>
      <c r="EE94" s="5"/>
      <c r="EF94" s="5"/>
      <c r="EG94" s="5"/>
      <c r="EH94" s="5"/>
    </row>
    <row r="95" spans="1:138" s="1" customFormat="1" ht="30" customHeight="1" thickBot="1" x14ac:dyDescent="0.35">
      <c r="A95" s="8"/>
      <c r="B95" s="23" t="s">
        <v>137</v>
      </c>
      <c r="C95" s="15" t="s">
        <v>55</v>
      </c>
      <c r="D95" s="41">
        <v>0</v>
      </c>
      <c r="E95" s="73">
        <f>F94</f>
        <v>46420</v>
      </c>
      <c r="F95" s="73">
        <f>E95</f>
        <v>46420</v>
      </c>
      <c r="G95" s="40"/>
      <c r="H95" s="40">
        <f t="shared" si="60"/>
        <v>1</v>
      </c>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98"/>
      <c r="DO95" s="5"/>
      <c r="DP95" s="5"/>
      <c r="DQ95" s="5"/>
      <c r="DR95" s="5"/>
      <c r="DS95" s="5"/>
      <c r="DT95" s="5"/>
      <c r="DU95" s="5"/>
      <c r="DV95" s="5"/>
      <c r="DW95" s="5"/>
      <c r="DX95" s="5"/>
      <c r="DY95" s="5"/>
      <c r="DZ95" s="5"/>
      <c r="EA95" s="5"/>
      <c r="EB95" s="5"/>
      <c r="EC95" s="5"/>
      <c r="ED95" s="5"/>
      <c r="EE95" s="5"/>
      <c r="EF95" s="5"/>
      <c r="EG95" s="5"/>
      <c r="EH95" s="5"/>
    </row>
    <row r="96" spans="1:138" s="1" customFormat="1" ht="30" customHeight="1" thickBot="1" x14ac:dyDescent="0.35">
      <c r="A96" s="9" t="s">
        <v>9</v>
      </c>
      <c r="B96" s="42" t="s">
        <v>22</v>
      </c>
      <c r="C96" s="16"/>
      <c r="D96" s="43"/>
      <c r="E96" s="74"/>
      <c r="F96" s="75"/>
      <c r="G96" s="40"/>
      <c r="H96" s="40" t="str">
        <f t="shared" si="60"/>
        <v/>
      </c>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98"/>
      <c r="DO96" s="5"/>
      <c r="DP96" s="5"/>
      <c r="DQ96" s="5"/>
      <c r="DR96" s="5"/>
      <c r="DS96" s="5"/>
      <c r="DT96" s="5"/>
      <c r="DU96" s="5"/>
      <c r="DV96" s="5"/>
      <c r="DW96" s="5"/>
      <c r="DX96" s="5"/>
      <c r="DY96" s="5"/>
      <c r="DZ96" s="5"/>
      <c r="EA96" s="5"/>
      <c r="EB96" s="5"/>
      <c r="EC96" s="5"/>
      <c r="ED96" s="5"/>
      <c r="EE96" s="5"/>
      <c r="EF96" s="5"/>
      <c r="EG96" s="5"/>
      <c r="EH96" s="5"/>
    </row>
    <row r="97" spans="1:138" s="1" customFormat="1" ht="30" customHeight="1" thickBot="1" x14ac:dyDescent="0.35">
      <c r="A97" s="9"/>
      <c r="B97" s="24" t="s">
        <v>17</v>
      </c>
      <c r="C97" s="17"/>
      <c r="D97" s="44"/>
      <c r="E97" s="76" t="s">
        <v>30</v>
      </c>
      <c r="F97" s="76" t="s">
        <v>30</v>
      </c>
      <c r="G97" s="40"/>
      <c r="H97" s="40" t="e">
        <f t="shared" si="60"/>
        <v>#VALUE!</v>
      </c>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98"/>
      <c r="DO97" s="5"/>
      <c r="DP97" s="5"/>
      <c r="DQ97" s="5"/>
      <c r="DR97" s="5"/>
      <c r="DS97" s="5"/>
      <c r="DT97" s="5"/>
      <c r="DU97" s="5"/>
      <c r="DV97" s="5"/>
      <c r="DW97" s="5"/>
      <c r="DX97" s="5"/>
      <c r="DY97" s="5"/>
      <c r="DZ97" s="5"/>
      <c r="EA97" s="5"/>
      <c r="EB97" s="5"/>
      <c r="EC97" s="5"/>
      <c r="ED97" s="5"/>
      <c r="EE97" s="5"/>
      <c r="EF97" s="5"/>
      <c r="EG97" s="5"/>
      <c r="EH97" s="5"/>
    </row>
    <row r="98" spans="1:138" s="1" customFormat="1" ht="30" customHeight="1" thickBot="1" x14ac:dyDescent="0.35">
      <c r="A98" s="8"/>
      <c r="B98" s="24" t="s">
        <v>18</v>
      </c>
      <c r="C98" s="17"/>
      <c r="D98" s="44"/>
      <c r="E98" s="76" t="s">
        <v>30</v>
      </c>
      <c r="F98" s="76" t="s">
        <v>30</v>
      </c>
      <c r="G98" s="40"/>
      <c r="H98" s="40" t="e">
        <f t="shared" si="60"/>
        <v>#VALUE!</v>
      </c>
      <c r="I98" s="5"/>
      <c r="J98" s="5"/>
      <c r="K98" s="5"/>
      <c r="L98" s="5"/>
      <c r="M98" s="5"/>
      <c r="N98" s="5"/>
      <c r="O98" s="5"/>
      <c r="P98" s="5"/>
      <c r="Q98" s="5"/>
      <c r="R98" s="5"/>
      <c r="S98" s="5"/>
      <c r="T98" s="5"/>
      <c r="U98" s="6"/>
      <c r="V98" s="6"/>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98"/>
      <c r="DO98" s="5"/>
      <c r="DP98" s="5"/>
      <c r="DQ98" s="5"/>
      <c r="DR98" s="5"/>
      <c r="DS98" s="5"/>
      <c r="DT98" s="5"/>
      <c r="DU98" s="5"/>
      <c r="DV98" s="5"/>
      <c r="DW98" s="5"/>
      <c r="DX98" s="5"/>
      <c r="DY98" s="5"/>
      <c r="DZ98" s="5"/>
      <c r="EA98" s="5"/>
      <c r="EB98" s="5"/>
      <c r="EC98" s="5"/>
      <c r="ED98" s="5"/>
      <c r="EE98" s="5"/>
      <c r="EF98" s="5"/>
      <c r="EG98" s="5"/>
      <c r="EH98" s="5"/>
    </row>
    <row r="99" spans="1:138" s="1" customFormat="1" ht="30" customHeight="1" thickBot="1" x14ac:dyDescent="0.35">
      <c r="A99" s="8"/>
      <c r="B99" s="24" t="s">
        <v>19</v>
      </c>
      <c r="C99" s="17"/>
      <c r="D99" s="44"/>
      <c r="E99" s="76" t="s">
        <v>30</v>
      </c>
      <c r="F99" s="76" t="s">
        <v>30</v>
      </c>
      <c r="G99" s="40"/>
      <c r="H99" s="40" t="e">
        <f t="shared" si="60"/>
        <v>#VALUE!</v>
      </c>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98"/>
      <c r="DO99" s="5"/>
      <c r="DP99" s="5"/>
      <c r="DQ99" s="5"/>
      <c r="DR99" s="5"/>
      <c r="DS99" s="5"/>
      <c r="DT99" s="5"/>
      <c r="DU99" s="5"/>
      <c r="DV99" s="5"/>
      <c r="DW99" s="5"/>
      <c r="DX99" s="5"/>
      <c r="DY99" s="5"/>
      <c r="DZ99" s="5"/>
      <c r="EA99" s="5"/>
      <c r="EB99" s="5"/>
      <c r="EC99" s="5"/>
      <c r="ED99" s="5"/>
      <c r="EE99" s="5"/>
      <c r="EF99" s="5"/>
      <c r="EG99" s="5"/>
      <c r="EH99" s="5"/>
    </row>
    <row r="100" spans="1:138" s="1" customFormat="1" ht="30" customHeight="1" thickBot="1" x14ac:dyDescent="0.35">
      <c r="A100" s="8"/>
      <c r="B100" s="24" t="s">
        <v>20</v>
      </c>
      <c r="C100" s="17"/>
      <c r="D100" s="44"/>
      <c r="E100" s="76" t="s">
        <v>30</v>
      </c>
      <c r="F100" s="76" t="s">
        <v>30</v>
      </c>
      <c r="G100" s="40"/>
      <c r="H100" s="40" t="e">
        <f t="shared" si="60"/>
        <v>#VALUE!</v>
      </c>
      <c r="I100" s="5"/>
      <c r="J100" s="5"/>
      <c r="K100" s="5"/>
      <c r="L100" s="5"/>
      <c r="M100" s="5"/>
      <c r="N100" s="5"/>
      <c r="O100" s="5"/>
      <c r="P100" s="5"/>
      <c r="Q100" s="5"/>
      <c r="R100" s="5"/>
      <c r="S100" s="5"/>
      <c r="T100" s="5"/>
      <c r="U100" s="5"/>
      <c r="V100" s="5"/>
      <c r="W100" s="5"/>
      <c r="X100" s="5"/>
      <c r="Y100" s="6"/>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6"/>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6"/>
      <c r="DJ100" s="5"/>
      <c r="DK100" s="5"/>
      <c r="DL100" s="5"/>
      <c r="DM100" s="5"/>
      <c r="DN100" s="98"/>
      <c r="DO100" s="5"/>
      <c r="DP100" s="5"/>
      <c r="DQ100" s="5"/>
      <c r="DR100" s="5"/>
      <c r="DS100" s="5"/>
      <c r="DT100" s="5"/>
      <c r="DU100" s="5"/>
      <c r="DV100" s="5"/>
      <c r="DW100" s="5"/>
      <c r="DX100" s="5"/>
      <c r="DY100" s="5"/>
      <c r="DZ100" s="5"/>
      <c r="EA100" s="5"/>
      <c r="EB100" s="5"/>
      <c r="EC100" s="5"/>
      <c r="ED100" s="6"/>
      <c r="EE100" s="5"/>
      <c r="EF100" s="5"/>
      <c r="EG100" s="5"/>
      <c r="EH100" s="5"/>
    </row>
    <row r="101" spans="1:138" s="1" customFormat="1" ht="30" customHeight="1" thickBot="1" x14ac:dyDescent="0.35">
      <c r="A101" s="8"/>
      <c r="B101" s="24" t="s">
        <v>21</v>
      </c>
      <c r="C101" s="17"/>
      <c r="D101" s="44"/>
      <c r="E101" s="76" t="s">
        <v>30</v>
      </c>
      <c r="F101" s="76" t="s">
        <v>30</v>
      </c>
      <c r="G101" s="40"/>
      <c r="H101" s="40" t="e">
        <f t="shared" si="60"/>
        <v>#VALUE!</v>
      </c>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98"/>
      <c r="DO101" s="5"/>
      <c r="DP101" s="5"/>
      <c r="DQ101" s="5"/>
      <c r="DR101" s="5"/>
      <c r="DS101" s="5"/>
      <c r="DT101" s="5"/>
      <c r="DU101" s="5"/>
      <c r="DV101" s="5"/>
      <c r="DW101" s="5"/>
      <c r="DX101" s="5"/>
      <c r="DY101" s="5"/>
      <c r="DZ101" s="5"/>
      <c r="EA101" s="5"/>
      <c r="EB101" s="5"/>
      <c r="EC101" s="5"/>
      <c r="ED101" s="5"/>
      <c r="EE101" s="5"/>
      <c r="EF101" s="5"/>
      <c r="EG101" s="5"/>
      <c r="EH101" s="5"/>
    </row>
    <row r="102" spans="1:138" s="1" customFormat="1" ht="30" customHeight="1" thickBot="1" x14ac:dyDescent="0.35">
      <c r="A102" s="8" t="s">
        <v>10</v>
      </c>
      <c r="B102" s="45" t="s">
        <v>23</v>
      </c>
      <c r="C102" s="18"/>
      <c r="D102" s="46"/>
      <c r="E102" s="77"/>
      <c r="F102" s="78"/>
      <c r="G102" s="40"/>
      <c r="H102" s="40" t="str">
        <f t="shared" si="60"/>
        <v/>
      </c>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98"/>
      <c r="DO102" s="5"/>
      <c r="DP102" s="5"/>
      <c r="DQ102" s="5"/>
      <c r="DR102" s="5"/>
      <c r="DS102" s="5"/>
      <c r="DT102" s="5"/>
      <c r="DU102" s="5"/>
      <c r="DV102" s="5"/>
      <c r="DW102" s="5"/>
      <c r="DX102" s="5"/>
      <c r="DY102" s="5"/>
      <c r="DZ102" s="5"/>
      <c r="EA102" s="5"/>
      <c r="EB102" s="5"/>
      <c r="EC102" s="5"/>
      <c r="ED102" s="5"/>
      <c r="EE102" s="5"/>
      <c r="EF102" s="5"/>
      <c r="EG102" s="5"/>
      <c r="EH102" s="5"/>
    </row>
    <row r="103" spans="1:138" s="1" customFormat="1" ht="30" customHeight="1" thickBot="1" x14ac:dyDescent="0.35">
      <c r="A103" s="8"/>
      <c r="B103" s="25" t="s">
        <v>17</v>
      </c>
      <c r="C103" s="19"/>
      <c r="D103" s="47"/>
      <c r="E103" s="79" t="s">
        <v>30</v>
      </c>
      <c r="F103" s="79" t="s">
        <v>30</v>
      </c>
      <c r="G103" s="40"/>
      <c r="H103" s="40" t="e">
        <f t="shared" si="60"/>
        <v>#VALUE!</v>
      </c>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98"/>
      <c r="DO103" s="5"/>
      <c r="DP103" s="5"/>
      <c r="DQ103" s="5"/>
      <c r="DR103" s="5"/>
      <c r="DS103" s="5"/>
      <c r="DT103" s="5"/>
      <c r="DU103" s="5"/>
      <c r="DV103" s="5"/>
      <c r="DW103" s="5"/>
      <c r="DX103" s="5"/>
      <c r="DY103" s="5"/>
      <c r="DZ103" s="5"/>
      <c r="EA103" s="5"/>
      <c r="EB103" s="5"/>
      <c r="EC103" s="5"/>
      <c r="ED103" s="5"/>
      <c r="EE103" s="5"/>
      <c r="EF103" s="5"/>
      <c r="EG103" s="5"/>
      <c r="EH103" s="5"/>
    </row>
    <row r="104" spans="1:138" s="1" customFormat="1" ht="30" customHeight="1" thickBot="1" x14ac:dyDescent="0.35">
      <c r="A104" s="8"/>
      <c r="B104" s="25" t="s">
        <v>18</v>
      </c>
      <c r="C104" s="19"/>
      <c r="D104" s="47"/>
      <c r="E104" s="79" t="s">
        <v>30</v>
      </c>
      <c r="F104" s="79" t="s">
        <v>30</v>
      </c>
      <c r="G104" s="40"/>
      <c r="H104" s="40" t="e">
        <f t="shared" si="60"/>
        <v>#VALUE!</v>
      </c>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98"/>
      <c r="DO104" s="5"/>
      <c r="DP104" s="5"/>
      <c r="DQ104" s="5"/>
      <c r="DR104" s="5"/>
      <c r="DS104" s="5"/>
      <c r="DT104" s="5"/>
      <c r="DU104" s="5"/>
      <c r="DV104" s="5"/>
      <c r="DW104" s="5"/>
      <c r="DX104" s="5"/>
      <c r="DY104" s="5"/>
      <c r="DZ104" s="5"/>
      <c r="EA104" s="5"/>
      <c r="EB104" s="5"/>
      <c r="EC104" s="5"/>
      <c r="ED104" s="5"/>
      <c r="EE104" s="5"/>
      <c r="EF104" s="5"/>
      <c r="EG104" s="5"/>
      <c r="EH104" s="5"/>
    </row>
    <row r="105" spans="1:138" s="1" customFormat="1" ht="30" customHeight="1" thickBot="1" x14ac:dyDescent="0.35">
      <c r="A105" s="8"/>
      <c r="B105" s="25" t="s">
        <v>19</v>
      </c>
      <c r="C105" s="19"/>
      <c r="D105" s="47"/>
      <c r="E105" s="79" t="s">
        <v>30</v>
      </c>
      <c r="F105" s="79" t="s">
        <v>30</v>
      </c>
      <c r="G105" s="40"/>
      <c r="H105" s="40" t="e">
        <f t="shared" si="60"/>
        <v>#VALUE!</v>
      </c>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98"/>
      <c r="DO105" s="5"/>
      <c r="DP105" s="5"/>
      <c r="DQ105" s="5"/>
      <c r="DR105" s="5"/>
      <c r="DS105" s="5"/>
      <c r="DT105" s="5"/>
      <c r="DU105" s="5"/>
      <c r="DV105" s="5"/>
      <c r="DW105" s="5"/>
      <c r="DX105" s="5"/>
      <c r="DY105" s="5"/>
      <c r="DZ105" s="5"/>
      <c r="EA105" s="5"/>
      <c r="EB105" s="5"/>
      <c r="EC105" s="5"/>
      <c r="ED105" s="5"/>
      <c r="EE105" s="5"/>
      <c r="EF105" s="5"/>
      <c r="EG105" s="5"/>
      <c r="EH105" s="5"/>
    </row>
    <row r="106" spans="1:138" s="1" customFormat="1" ht="30" customHeight="1" thickBot="1" x14ac:dyDescent="0.35">
      <c r="A106" s="8"/>
      <c r="B106" s="25" t="s">
        <v>20</v>
      </c>
      <c r="C106" s="19"/>
      <c r="D106" s="47"/>
      <c r="E106" s="79" t="s">
        <v>30</v>
      </c>
      <c r="F106" s="79" t="s">
        <v>30</v>
      </c>
      <c r="G106" s="40"/>
      <c r="H106" s="40" t="e">
        <f t="shared" si="60"/>
        <v>#VALUE!</v>
      </c>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98"/>
      <c r="DO106" s="5"/>
      <c r="DP106" s="5"/>
      <c r="DQ106" s="5"/>
      <c r="DR106" s="5"/>
      <c r="DS106" s="5"/>
      <c r="DT106" s="5"/>
      <c r="DU106" s="5"/>
      <c r="DV106" s="5"/>
      <c r="DW106" s="5"/>
      <c r="DX106" s="5"/>
      <c r="DY106" s="5"/>
      <c r="DZ106" s="5"/>
      <c r="EA106" s="5"/>
      <c r="EB106" s="5"/>
      <c r="EC106" s="5"/>
      <c r="ED106" s="5"/>
      <c r="EE106" s="5"/>
      <c r="EF106" s="5"/>
      <c r="EG106" s="5"/>
      <c r="EH106" s="5"/>
    </row>
    <row r="107" spans="1:138" s="1" customFormat="1" ht="30" customHeight="1" thickBot="1" x14ac:dyDescent="0.35">
      <c r="A107" s="8"/>
      <c r="B107" s="25" t="s">
        <v>21</v>
      </c>
      <c r="C107" s="19"/>
      <c r="D107" s="47"/>
      <c r="E107" s="79" t="s">
        <v>30</v>
      </c>
      <c r="F107" s="79" t="s">
        <v>30</v>
      </c>
      <c r="G107" s="40"/>
      <c r="H107" s="40" t="e">
        <f t="shared" si="60"/>
        <v>#VALUE!</v>
      </c>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98"/>
      <c r="DO107" s="5"/>
      <c r="DP107" s="5"/>
      <c r="DQ107" s="5"/>
      <c r="DR107" s="5"/>
      <c r="DS107" s="5"/>
      <c r="DT107" s="5"/>
      <c r="DU107" s="5"/>
      <c r="DV107" s="5"/>
      <c r="DW107" s="5"/>
      <c r="DX107" s="5"/>
      <c r="DY107" s="5"/>
      <c r="DZ107" s="5"/>
      <c r="EA107" s="5"/>
      <c r="EB107" s="5"/>
      <c r="EC107" s="5"/>
      <c r="ED107" s="5"/>
      <c r="EE107" s="5"/>
      <c r="EF107" s="5"/>
      <c r="EG107" s="5"/>
      <c r="EH107" s="5"/>
    </row>
    <row r="108" spans="1:138" s="1" customFormat="1" ht="30" customHeight="1" thickBot="1" x14ac:dyDescent="0.35">
      <c r="A108" s="8" t="s">
        <v>10</v>
      </c>
      <c r="B108" s="48" t="s">
        <v>24</v>
      </c>
      <c r="C108" s="20"/>
      <c r="D108" s="49"/>
      <c r="E108" s="80"/>
      <c r="F108" s="81"/>
      <c r="G108" s="40"/>
      <c r="H108" s="40" t="str">
        <f t="shared" si="60"/>
        <v/>
      </c>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98"/>
      <c r="DO108" s="5"/>
      <c r="DP108" s="5"/>
      <c r="DQ108" s="5"/>
      <c r="DR108" s="5"/>
      <c r="DS108" s="5"/>
      <c r="DT108" s="5"/>
      <c r="DU108" s="5"/>
      <c r="DV108" s="5"/>
      <c r="DW108" s="5"/>
      <c r="DX108" s="5"/>
      <c r="DY108" s="5"/>
      <c r="DZ108" s="5"/>
      <c r="EA108" s="5"/>
      <c r="EB108" s="5"/>
      <c r="EC108" s="5"/>
      <c r="ED108" s="5"/>
      <c r="EE108" s="5"/>
      <c r="EF108" s="5"/>
      <c r="EG108" s="5"/>
      <c r="EH108" s="5"/>
    </row>
    <row r="109" spans="1:138" s="1" customFormat="1" ht="30" customHeight="1" thickBot="1" x14ac:dyDescent="0.35">
      <c r="A109" s="8"/>
      <c r="B109" s="26" t="s">
        <v>17</v>
      </c>
      <c r="C109" s="21"/>
      <c r="D109" s="50"/>
      <c r="E109" s="82" t="s">
        <v>30</v>
      </c>
      <c r="F109" s="82" t="s">
        <v>30</v>
      </c>
      <c r="G109" s="40"/>
      <c r="H109" s="40" t="e">
        <f t="shared" si="60"/>
        <v>#VALUE!</v>
      </c>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98"/>
      <c r="DO109" s="5"/>
      <c r="DP109" s="5"/>
      <c r="DQ109" s="5"/>
      <c r="DR109" s="5"/>
      <c r="DS109" s="5"/>
      <c r="DT109" s="5"/>
      <c r="DU109" s="5"/>
      <c r="DV109" s="5"/>
      <c r="DW109" s="5"/>
      <c r="DX109" s="5"/>
      <c r="DY109" s="5"/>
      <c r="DZ109" s="5"/>
      <c r="EA109" s="5"/>
      <c r="EB109" s="5"/>
      <c r="EC109" s="5"/>
      <c r="ED109" s="5"/>
      <c r="EE109" s="5"/>
      <c r="EF109" s="5"/>
      <c r="EG109" s="5"/>
      <c r="EH109" s="5"/>
    </row>
    <row r="110" spans="1:138" s="1" customFormat="1" ht="30" customHeight="1" thickBot="1" x14ac:dyDescent="0.35">
      <c r="A110" s="8"/>
      <c r="B110" s="26" t="s">
        <v>18</v>
      </c>
      <c r="C110" s="21"/>
      <c r="D110" s="50"/>
      <c r="E110" s="82" t="s">
        <v>30</v>
      </c>
      <c r="F110" s="82" t="s">
        <v>30</v>
      </c>
      <c r="G110" s="40"/>
      <c r="H110" s="40" t="e">
        <f t="shared" si="60"/>
        <v>#VALUE!</v>
      </c>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98"/>
      <c r="DO110" s="5"/>
      <c r="DP110" s="5"/>
      <c r="DQ110" s="5"/>
      <c r="DR110" s="5"/>
      <c r="DS110" s="5"/>
      <c r="DT110" s="5"/>
      <c r="DU110" s="5"/>
      <c r="DV110" s="5"/>
      <c r="DW110" s="5"/>
      <c r="DX110" s="5"/>
      <c r="DY110" s="5"/>
      <c r="DZ110" s="5"/>
      <c r="EA110" s="5"/>
      <c r="EB110" s="5"/>
      <c r="EC110" s="5"/>
      <c r="ED110" s="5"/>
      <c r="EE110" s="5"/>
      <c r="EF110" s="5"/>
      <c r="EG110" s="5"/>
      <c r="EH110" s="5"/>
    </row>
    <row r="111" spans="1:138" s="1" customFormat="1" ht="30" customHeight="1" thickBot="1" x14ac:dyDescent="0.35">
      <c r="A111" s="8"/>
      <c r="B111" s="26" t="s">
        <v>19</v>
      </c>
      <c r="C111" s="21"/>
      <c r="D111" s="50"/>
      <c r="E111" s="82" t="s">
        <v>30</v>
      </c>
      <c r="F111" s="82" t="s">
        <v>30</v>
      </c>
      <c r="G111" s="40"/>
      <c r="H111" s="40" t="e">
        <f t="shared" si="60"/>
        <v>#VALUE!</v>
      </c>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98"/>
      <c r="DO111" s="5"/>
      <c r="DP111" s="5"/>
      <c r="DQ111" s="5"/>
      <c r="DR111" s="5"/>
      <c r="DS111" s="5"/>
      <c r="DT111" s="5"/>
      <c r="DU111" s="5"/>
      <c r="DV111" s="5"/>
      <c r="DW111" s="5"/>
      <c r="DX111" s="5"/>
      <c r="DY111" s="5"/>
      <c r="DZ111" s="5"/>
      <c r="EA111" s="5"/>
      <c r="EB111" s="5"/>
      <c r="EC111" s="5"/>
      <c r="ED111" s="5"/>
      <c r="EE111" s="5"/>
      <c r="EF111" s="5"/>
      <c r="EG111" s="5"/>
      <c r="EH111" s="5"/>
    </row>
    <row r="112" spans="1:138" s="1" customFormat="1" ht="30" customHeight="1" thickBot="1" x14ac:dyDescent="0.35">
      <c r="A112" s="8"/>
      <c r="B112" s="26" t="s">
        <v>20</v>
      </c>
      <c r="C112" s="21"/>
      <c r="D112" s="50"/>
      <c r="E112" s="82" t="s">
        <v>30</v>
      </c>
      <c r="F112" s="82" t="s">
        <v>30</v>
      </c>
      <c r="G112" s="40"/>
      <c r="H112" s="40" t="e">
        <f t="shared" si="60"/>
        <v>#VALUE!</v>
      </c>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98"/>
      <c r="DO112" s="5"/>
      <c r="DP112" s="5"/>
      <c r="DQ112" s="5"/>
      <c r="DR112" s="5"/>
      <c r="DS112" s="5"/>
      <c r="DT112" s="5"/>
      <c r="DU112" s="5"/>
      <c r="DV112" s="5"/>
      <c r="DW112" s="5"/>
      <c r="DX112" s="5"/>
      <c r="DY112" s="5"/>
      <c r="DZ112" s="5"/>
      <c r="EA112" s="5"/>
      <c r="EB112" s="5"/>
      <c r="EC112" s="5"/>
      <c r="ED112" s="5"/>
      <c r="EE112" s="5"/>
      <c r="EF112" s="5"/>
      <c r="EG112" s="5"/>
      <c r="EH112" s="5"/>
    </row>
    <row r="113" spans="1:138" s="1" customFormat="1" ht="30" customHeight="1" thickBot="1" x14ac:dyDescent="0.35">
      <c r="A113" s="8"/>
      <c r="B113" s="26" t="s">
        <v>21</v>
      </c>
      <c r="C113" s="21"/>
      <c r="D113" s="50"/>
      <c r="E113" s="82" t="s">
        <v>30</v>
      </c>
      <c r="F113" s="82" t="s">
        <v>30</v>
      </c>
      <c r="G113" s="40"/>
      <c r="H113" s="40" t="e">
        <f t="shared" si="60"/>
        <v>#VALUE!</v>
      </c>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98"/>
      <c r="DO113" s="5"/>
      <c r="DP113" s="5"/>
      <c r="DQ113" s="5"/>
      <c r="DR113" s="5"/>
      <c r="DS113" s="5"/>
      <c r="DT113" s="5"/>
      <c r="DU113" s="5"/>
      <c r="DV113" s="5"/>
      <c r="DW113" s="5"/>
      <c r="DX113" s="5"/>
      <c r="DY113" s="5"/>
      <c r="DZ113" s="5"/>
      <c r="EA113" s="5"/>
      <c r="EB113" s="5"/>
      <c r="EC113" s="5"/>
      <c r="ED113" s="5"/>
      <c r="EE113" s="5"/>
      <c r="EF113" s="5"/>
      <c r="EG113" s="5"/>
      <c r="EH113" s="5"/>
    </row>
    <row r="114" spans="1:138" s="1" customFormat="1" ht="30" customHeight="1" thickBot="1" x14ac:dyDescent="0.35">
      <c r="A114" s="8" t="s">
        <v>11</v>
      </c>
      <c r="B114" s="27"/>
      <c r="C114" s="22"/>
      <c r="D114" s="51"/>
      <c r="E114" s="83"/>
      <c r="F114" s="83"/>
      <c r="G114" s="40"/>
      <c r="H114" s="40" t="str">
        <f t="shared" si="60"/>
        <v/>
      </c>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98"/>
      <c r="DO114" s="5"/>
      <c r="DP114" s="5"/>
      <c r="DQ114" s="5"/>
      <c r="DR114" s="5"/>
      <c r="DS114" s="5"/>
      <c r="DT114" s="5"/>
      <c r="DU114" s="5"/>
      <c r="DV114" s="5"/>
      <c r="DW114" s="5"/>
      <c r="DX114" s="5"/>
      <c r="DY114" s="5"/>
      <c r="DZ114" s="5"/>
      <c r="EA114" s="5"/>
      <c r="EB114" s="5"/>
      <c r="EC114" s="5"/>
      <c r="ED114" s="5"/>
      <c r="EE114" s="5"/>
      <c r="EF114" s="5"/>
      <c r="EG114" s="5"/>
      <c r="EH114" s="5"/>
    </row>
    <row r="115" spans="1:138" s="1" customFormat="1" ht="30" customHeight="1" thickBot="1" x14ac:dyDescent="0.35">
      <c r="A115" s="9" t="s">
        <v>12</v>
      </c>
      <c r="B115" s="52" t="s">
        <v>25</v>
      </c>
      <c r="C115" s="53"/>
      <c r="D115" s="54"/>
      <c r="E115" s="84"/>
      <c r="F115" s="85"/>
      <c r="G115" s="55"/>
      <c r="H115" s="55" t="str">
        <f t="shared" si="60"/>
        <v/>
      </c>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98"/>
      <c r="DO115" s="7"/>
      <c r="DP115" s="7"/>
      <c r="DQ115" s="7"/>
      <c r="DR115" s="7"/>
      <c r="DS115" s="7"/>
      <c r="DT115" s="7"/>
      <c r="DU115" s="7"/>
      <c r="DV115" s="7"/>
      <c r="DW115" s="7"/>
      <c r="DX115" s="7"/>
      <c r="DY115" s="7"/>
      <c r="DZ115" s="7"/>
      <c r="EA115" s="7"/>
      <c r="EB115" s="7"/>
      <c r="EC115" s="7"/>
      <c r="ED115" s="7"/>
      <c r="EE115" s="7"/>
      <c r="EF115" s="7"/>
      <c r="EG115" s="7"/>
      <c r="EH115" s="7"/>
    </row>
    <row r="116" spans="1:138" ht="30" customHeight="1" x14ac:dyDescent="0.3">
      <c r="G116" s="3"/>
    </row>
    <row r="117" spans="1:138" ht="30" customHeight="1" x14ac:dyDescent="0.3">
      <c r="C117" s="56"/>
      <c r="F117" s="57"/>
    </row>
    <row r="118" spans="1:138" ht="30" customHeight="1" x14ac:dyDescent="0.3">
      <c r="C118" s="58"/>
    </row>
  </sheetData>
  <mergeCells count="21">
    <mergeCell ref="DU4:EA4"/>
    <mergeCell ref="EB4:EH4"/>
    <mergeCell ref="BM4:BS4"/>
    <mergeCell ref="BT4:BZ4"/>
    <mergeCell ref="CA4:CE4"/>
    <mergeCell ref="CL4:CR4"/>
    <mergeCell ref="CS4:CY4"/>
    <mergeCell ref="CZ4:DF4"/>
    <mergeCell ref="DG4:DM4"/>
    <mergeCell ref="DN4:DT4"/>
    <mergeCell ref="BF4:BL4"/>
    <mergeCell ref="E3:F3"/>
    <mergeCell ref="I4:O4"/>
    <mergeCell ref="P4:V4"/>
    <mergeCell ref="W4:AC4"/>
    <mergeCell ref="AD4:AJ4"/>
    <mergeCell ref="C3:D3"/>
    <mergeCell ref="C4:D4"/>
    <mergeCell ref="AK4:AQ4"/>
    <mergeCell ref="AR4:AX4"/>
    <mergeCell ref="AY4:BE4"/>
  </mergeCells>
  <phoneticPr fontId="29"/>
  <conditionalFormatting sqref="D7:D8 D96:D115">
    <cfRule type="dataBar" priority="570">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K115 BM5:CD115 DG5:DS115 CF5:DE115 EB5:EH115 DU5:DZ115">
    <cfRule type="expression" dxfId="11" priority="589">
      <formula>AND(TODAY()&gt;=I$5,TODAY()&lt;J$5)</formula>
    </cfRule>
  </conditionalFormatting>
  <conditionalFormatting sqref="I7:BK115 BM7:CD115 DG7:DS115 CF7:DE115 EB7:EH115 DU7:DZ115">
    <cfRule type="expression" dxfId="10" priority="583">
      <formula>AND(タスク_開始&lt;=I$5,ROUNDDOWN((タスク_終了-タスク_開始+1)*タスク_進捗状況,0)+タスク_開始-1&gt;=I$5)</formula>
    </cfRule>
    <cfRule type="expression" dxfId="9" priority="584" stopIfTrue="1">
      <formula>AND(タスク_終了&gt;=I$5,タスク_開始&lt;J$5)</formula>
    </cfRule>
  </conditionalFormatting>
  <conditionalFormatting sqref="D9:D95">
    <cfRule type="dataBar" priority="553">
      <dataBar>
        <cfvo type="num" val="0"/>
        <cfvo type="num" val="1"/>
        <color theme="0" tint="-0.249977111117893"/>
      </dataBar>
      <extLst>
        <ext xmlns:x14="http://schemas.microsoft.com/office/spreadsheetml/2009/9/main" uri="{B025F937-C7B1-47D3-B67F-A62EFF666E3E}">
          <x14:id>{B02BC11D-3A77-4B92-B0EB-CD248C1BFEA7}</x14:id>
        </ext>
      </extLst>
    </cfRule>
  </conditionalFormatting>
  <conditionalFormatting sqref="CE5:CE115">
    <cfRule type="expression" dxfId="8" priority="607">
      <formula>AND(TODAY()&gt;=CE$5,TODAY()&lt;#REF!)</formula>
    </cfRule>
  </conditionalFormatting>
  <conditionalFormatting sqref="CE7:CE115">
    <cfRule type="expression" dxfId="7" priority="610">
      <formula>AND(タスク_開始&lt;=CE$5,ROUNDDOWN((タスク_終了-タスク_開始+1)*タスク_進捗状況,0)+タスク_開始-1&gt;=CE$5)</formula>
    </cfRule>
    <cfRule type="expression" dxfId="6" priority="611" stopIfTrue="1">
      <formula>AND(タスク_終了&gt;=CE$5,タスク_開始&lt;#REF!)</formula>
    </cfRule>
  </conditionalFormatting>
  <conditionalFormatting sqref="BL5:BL115 DF5:DF115 EA5:EA115">
    <cfRule type="expression" dxfId="5" priority="621">
      <formula>AND(TODAY()&gt;=BL$5,TODAY()&lt;EI$5)</formula>
    </cfRule>
  </conditionalFormatting>
  <conditionalFormatting sqref="BL7:BL115 DF7:DF115 EA7:EA115">
    <cfRule type="expression" dxfId="4" priority="622">
      <formula>AND(タスク_開始&lt;=BL$5,ROUNDDOWN((タスク_終了-タスク_開始+1)*タスク_進捗状況,0)+タスク_開始-1&gt;=BL$5)</formula>
    </cfRule>
    <cfRule type="expression" dxfId="3" priority="623" stopIfTrue="1">
      <formula>AND(タスク_終了&gt;=BL$5,タスク_開始&lt;EI$5)</formula>
    </cfRule>
  </conditionalFormatting>
  <conditionalFormatting sqref="DT5:DT115">
    <cfRule type="expression" dxfId="2" priority="625">
      <formula>AND(TODAY()&gt;=DT$5,TODAY()&lt;EI$5)</formula>
    </cfRule>
  </conditionalFormatting>
  <conditionalFormatting sqref="DT7:DT115">
    <cfRule type="expression" dxfId="1" priority="628">
      <formula>AND(タスク_開始&lt;=DT$5,ROUNDDOWN((タスク_終了-タスク_開始+1)*タスク_進捗状況,0)+タスク_開始-1&gt;=DT$5)</formula>
    </cfRule>
    <cfRule type="expression" dxfId="0" priority="629" stopIfTrue="1">
      <formula>AND(タスク_終了&gt;=DT$5,タスク_開始&lt;EI$5)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114"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 D96:D115</xm:sqref>
        </x14:conditionalFormatting>
        <x14:conditionalFormatting xmlns:xm="http://schemas.microsoft.com/office/excel/2006/main">
          <x14:cfRule type="dataBar" id="{B02BC11D-3A77-4B92-B0EB-CD248C1BFEA7}">
            <x14:dataBar minLength="0" maxLength="100" gradient="0">
              <x14:cfvo type="num">
                <xm:f>0</xm:f>
              </x14:cfvo>
              <x14:cfvo type="num">
                <xm:f>1</xm:f>
              </x14:cfvo>
              <x14:negativeFillColor rgb="FFFF0000"/>
              <x14:axisColor rgb="FF000000"/>
            </x14:dataBar>
          </x14:cfRule>
          <xm:sqref>D9:D95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4.4" x14ac:dyDescent="0.3"/>
  <cols>
    <col min="1" max="1" width="87" style="59" customWidth="1"/>
    <col min="2" max="16384" width="9" style="60"/>
  </cols>
  <sheetData>
    <row r="1" spans="1:2" ht="46.5" customHeight="1" x14ac:dyDescent="0.3"/>
    <row r="2" spans="1:2" s="62" customFormat="1" ht="16.2" x14ac:dyDescent="0.3">
      <c r="A2" s="61" t="s">
        <v>33</v>
      </c>
      <c r="B2" s="61"/>
    </row>
    <row r="3" spans="1:2" s="65" customFormat="1" ht="27" customHeight="1" x14ac:dyDescent="0.3">
      <c r="A3" s="63" t="s">
        <v>34</v>
      </c>
      <c r="B3" s="64"/>
    </row>
    <row r="4" spans="1:2" s="67" customFormat="1" ht="27" x14ac:dyDescent="0.5">
      <c r="A4" s="66" t="s">
        <v>35</v>
      </c>
    </row>
    <row r="5" spans="1:2" ht="61.5" customHeight="1" x14ac:dyDescent="0.3">
      <c r="A5" s="68" t="s">
        <v>36</v>
      </c>
    </row>
    <row r="6" spans="1:2" ht="26.25" customHeight="1" x14ac:dyDescent="0.3">
      <c r="A6" s="66" t="s">
        <v>37</v>
      </c>
    </row>
    <row r="7" spans="1:2" s="59" customFormat="1" ht="198" customHeight="1" x14ac:dyDescent="0.3">
      <c r="A7" s="69" t="s">
        <v>48</v>
      </c>
    </row>
    <row r="8" spans="1:2" s="67" customFormat="1" ht="27" x14ac:dyDescent="0.5">
      <c r="A8" s="66" t="s">
        <v>38</v>
      </c>
    </row>
    <row r="9" spans="1:2" ht="45" x14ac:dyDescent="0.3">
      <c r="A9" s="68" t="s">
        <v>39</v>
      </c>
    </row>
    <row r="10" spans="1:2" s="59" customFormat="1" ht="27.9" customHeight="1" x14ac:dyDescent="0.3">
      <c r="A10" s="70" t="s">
        <v>40</v>
      </c>
    </row>
    <row r="11" spans="1:2" s="67" customFormat="1" ht="27" x14ac:dyDescent="0.5">
      <c r="A11" s="66" t="s">
        <v>41</v>
      </c>
    </row>
    <row r="12" spans="1:2" ht="30" x14ac:dyDescent="0.3">
      <c r="A12" s="68" t="s">
        <v>42</v>
      </c>
    </row>
    <row r="13" spans="1:2" s="59" customFormat="1" ht="27.9" customHeight="1" x14ac:dyDescent="0.3">
      <c r="A13" s="70" t="s">
        <v>43</v>
      </c>
    </row>
    <row r="14" spans="1:2" s="67" customFormat="1" ht="27" x14ac:dyDescent="0.5">
      <c r="A14" s="66" t="s">
        <v>44</v>
      </c>
    </row>
    <row r="15" spans="1:2" ht="64.5" customHeight="1" x14ac:dyDescent="0.3">
      <c r="A15" s="68" t="s">
        <v>45</v>
      </c>
    </row>
    <row r="16" spans="1:2" ht="45" x14ac:dyDescent="0.3">
      <c r="A16" s="68" t="s">
        <v>46</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2026-10-19T14:48:43Z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